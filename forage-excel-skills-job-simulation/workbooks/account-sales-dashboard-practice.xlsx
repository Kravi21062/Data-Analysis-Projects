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ravi\Downloads\"/>
    </mc:Choice>
  </mc:AlternateContent>
  <xr:revisionPtr revIDLastSave="0" documentId="13_ncr:1_{59391D17-597E-4479-BC97-93E658BE046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Account Sales Data" sheetId="1" r:id="rId1"/>
    <sheet name="Pivot Table Summary" sheetId="2" r:id="rId2"/>
    <sheet name="Dashboard" sheetId="3" r:id="rId3"/>
  </sheet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Q15" i="3"/>
  <c r="Q14" i="3"/>
  <c r="Q13" i="3"/>
  <c r="T12" i="3"/>
  <c r="S12" i="3"/>
  <c r="Q12" i="3"/>
  <c r="T11" i="3"/>
  <c r="S11" i="3"/>
  <c r="Q11" i="3"/>
  <c r="T10" i="3"/>
  <c r="S10" i="3"/>
  <c r="T9" i="3"/>
  <c r="S9" i="3"/>
  <c r="T8" i="3"/>
  <c r="S8" i="3"/>
  <c r="Q8" i="3"/>
  <c r="T7" i="3"/>
  <c r="S7" i="3"/>
  <c r="Q7" i="3"/>
  <c r="T6" i="3"/>
  <c r="S6" i="3"/>
  <c r="Q6" i="3"/>
  <c r="T5" i="3"/>
  <c r="S5" i="3"/>
  <c r="Q5" i="3"/>
  <c r="K5" i="3"/>
  <c r="H5" i="3"/>
  <c r="B5" i="3"/>
  <c r="T4" i="3"/>
  <c r="S4" i="3"/>
  <c r="Q4" i="3"/>
  <c r="T3" i="3"/>
  <c r="S3" i="3"/>
  <c r="Q3" i="3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<sst xmlns="http://schemas.openxmlformats.org/spreadsheetml/2006/main" count="284" uniqueCount="115">
  <si>
    <t>Account ID</t>
  </si>
  <si>
    <t>Account Name</t>
  </si>
  <si>
    <t>Account Type</t>
  </si>
  <si>
    <t>Region</t>
  </si>
  <si>
    <t>Product 1</t>
  </si>
  <si>
    <t>Product 2</t>
  </si>
  <si>
    <t>2016 Unit Sales</t>
  </si>
  <si>
    <t>2017 Unit Sales</t>
  </si>
  <si>
    <t>2018 Unit Sales</t>
  </si>
  <si>
    <t>2019 Unit Sales</t>
  </si>
  <si>
    <t>2020 Unit Sales</t>
  </si>
  <si>
    <t>2021 Unit Sales</t>
  </si>
  <si>
    <t>5 YR CAGR</t>
  </si>
  <si>
    <t>AC-1001</t>
  </si>
  <si>
    <t>Northstar Office Supply</t>
  </si>
  <si>
    <t>Enterprise</t>
  </si>
  <si>
    <t>North</t>
  </si>
  <si>
    <t>Yes</t>
  </si>
  <si>
    <t>AC-1002</t>
  </si>
  <si>
    <t>Cedar Lane Market</t>
  </si>
  <si>
    <t>Retail</t>
  </si>
  <si>
    <t>West</t>
  </si>
  <si>
    <t>No</t>
  </si>
  <si>
    <t>AC-1003</t>
  </si>
  <si>
    <t>BrightPath Services</t>
  </si>
  <si>
    <t>Small Business</t>
  </si>
  <si>
    <t>East</t>
  </si>
  <si>
    <t>AC-1004</t>
  </si>
  <si>
    <t>Harborview Goods</t>
  </si>
  <si>
    <t>Distributor</t>
  </si>
  <si>
    <t>South</t>
  </si>
  <si>
    <t>AC-1005</t>
  </si>
  <si>
    <t>Summit Ridge Retail</t>
  </si>
  <si>
    <t>Central</t>
  </si>
  <si>
    <t>AC-1006</t>
  </si>
  <si>
    <t>BluePeak Solutions</t>
  </si>
  <si>
    <t>AC-1007</t>
  </si>
  <si>
    <t>Maple Street Co.</t>
  </si>
  <si>
    <t>AC-1008</t>
  </si>
  <si>
    <t>Evergreen Wholesale</t>
  </si>
  <si>
    <t>AC-1009</t>
  </si>
  <si>
    <t>Golden Field Retail</t>
  </si>
  <si>
    <t>AC-1010</t>
  </si>
  <si>
    <t>Orbit Commerce</t>
  </si>
  <si>
    <t>Online</t>
  </si>
  <si>
    <t>AC-1011</t>
  </si>
  <si>
    <t>Pioneer Business Group</t>
  </si>
  <si>
    <t>AC-1012</t>
  </si>
  <si>
    <t>Redwood Home Market</t>
  </si>
  <si>
    <t>AC-1013</t>
  </si>
  <si>
    <t>Silverline Distribution</t>
  </si>
  <si>
    <t>AC-1014</t>
  </si>
  <si>
    <t>Juniper Digital</t>
  </si>
  <si>
    <t>AC-1015</t>
  </si>
  <si>
    <t>Stonebridge Supply</t>
  </si>
  <si>
    <t>AC-1016</t>
  </si>
  <si>
    <t>Lakefront Retailers</t>
  </si>
  <si>
    <t>AC-1017</t>
  </si>
  <si>
    <t>Crescent Operations</t>
  </si>
  <si>
    <t>AC-1018</t>
  </si>
  <si>
    <t>Vista Point Market</t>
  </si>
  <si>
    <t>AC-1019</t>
  </si>
  <si>
    <t>Cloudline Commerce</t>
  </si>
  <si>
    <t>AC-1020</t>
  </si>
  <si>
    <t>Oak &amp; Pine Wholesale</t>
  </si>
  <si>
    <t>AC-1021</t>
  </si>
  <si>
    <t>MetroWorks Supply</t>
  </si>
  <si>
    <t>AC-1022</t>
  </si>
  <si>
    <t>Riverbend Market</t>
  </si>
  <si>
    <t>AC-1023</t>
  </si>
  <si>
    <t>Skyline Business Services</t>
  </si>
  <si>
    <t>AC-1024</t>
  </si>
  <si>
    <t>Westbrook Distribution</t>
  </si>
  <si>
    <t>AC-1025</t>
  </si>
  <si>
    <t>Aspen Retail Group</t>
  </si>
  <si>
    <t>AC-1026</t>
  </si>
  <si>
    <t>Clearview Products</t>
  </si>
  <si>
    <t>AC-1027</t>
  </si>
  <si>
    <t>Beacon Hill Market</t>
  </si>
  <si>
    <t>AC-1028</t>
  </si>
  <si>
    <t>Momentum Commerce</t>
  </si>
  <si>
    <t>AC-1029</t>
  </si>
  <si>
    <t>Parkside Supply</t>
  </si>
  <si>
    <t>AC-1030</t>
  </si>
  <si>
    <t>Ironwood Distribution</t>
  </si>
  <si>
    <t>AC-1031</t>
  </si>
  <si>
    <t>Springline Retail</t>
  </si>
  <si>
    <t>AC-1032</t>
  </si>
  <si>
    <t>Summit Digital Market</t>
  </si>
  <si>
    <t>AC-1033</t>
  </si>
  <si>
    <t>Willow Creek Supply</t>
  </si>
  <si>
    <t>AC-1034</t>
  </si>
  <si>
    <t>Horizon Goods</t>
  </si>
  <si>
    <t>AC-1035</t>
  </si>
  <si>
    <t>Elm Street Services</t>
  </si>
  <si>
    <t>AC-1036</t>
  </si>
  <si>
    <t>Peakline Commerce</t>
  </si>
  <si>
    <t>AC-1037</t>
  </si>
  <si>
    <t>Granite Bay Wholesale</t>
  </si>
  <si>
    <t>AC-1038</t>
  </si>
  <si>
    <t>Meadowbrook Retail</t>
  </si>
  <si>
    <t>AC-1039</t>
  </si>
  <si>
    <t>Keystone Business Group</t>
  </si>
  <si>
    <t>AC-1040</t>
  </si>
  <si>
    <t>Nova Lane Market</t>
  </si>
  <si>
    <t>Grand Total</t>
  </si>
  <si>
    <t>EXECUTIVE SALES PERFORMANCE DASHBOARD</t>
  </si>
  <si>
    <t>Year</t>
  </si>
  <si>
    <t>Unit Sales</t>
  </si>
  <si>
    <t>Comprehensive Multi-Year Unit Sales &amp; Account Performance Analysis (2016–2021)</t>
  </si>
  <si>
    <t>2021 TOTAL SALES</t>
  </si>
  <si>
    <t>YOY GROWTH (2020-21)</t>
  </si>
  <si>
    <t>5-YR TOTAL VOLUME</t>
  </si>
  <si>
    <t>ACTIVE ACCOUNTS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</si>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</sst>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%"/>
    <numFmt numFmtId="165" formatCode="\+0.0%;\-0.0%"/>
  </numFmts>
  <fonts count="1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0"/>
      <color rgb="FF666666"/>
      <name val="Calibri"/>
      <scheme val="minor"/>
    </font>
    <font>
      <sz val="10"/>
      <color rgb="FF0000FF"/>
      <name val="Calibri"/>
      <scheme val="minor"/>
    </font>
    <font>
      <sz val="10"/>
      <color rgb="FF000000"/>
      <name val="Calibri"/>
      <scheme val="minor"/>
    </font>
    <font>
      <b/>
      <sz val="15"/>
      <color rgb="FFFFFFFF"/>
      <name val="Roboto"/>
    </font>
    <font>
      <b/>
      <sz val="10"/>
      <color rgb="FFFFFFFF"/>
      <name val="Roboto"/>
    </font>
    <font>
      <i/>
      <sz val="10"/>
      <color rgb="FF465469"/>
      <name val="Roboto"/>
    </font>
    <font>
      <sz val="9"/>
      <color theme="1"/>
      <name val="Roboto"/>
    </font>
    <font>
      <b/>
      <sz val="9"/>
      <color rgb="FF63748A"/>
      <name val="Roboto"/>
    </font>
    <font>
      <sz val="11"/>
      <name val="Calibri"/>
    </font>
    <font>
      <b/>
      <sz val="18"/>
      <color rgb="FF1E3989"/>
      <name val="Roboto"/>
    </font>
    <font>
      <b/>
      <sz val="18"/>
      <color rgb="FF059569"/>
      <name val="Roboto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7F9FC"/>
        <bgColor rgb="FFF7F9FC"/>
      </patternFill>
    </fill>
    <fill>
      <patternFill patternType="solid">
        <fgColor rgb="FF1E3989"/>
        <bgColor rgb="FF1E3989"/>
      </patternFill>
    </fill>
    <fill>
      <patternFill patternType="solid">
        <fgColor rgb="FFF0F5F8"/>
        <bgColor rgb="FFF0F5F8"/>
      </patternFill>
    </fill>
    <fill>
      <patternFill patternType="solid">
        <fgColor rgb="FFF8F9FB"/>
        <bgColor rgb="FFF8F9FB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E5E5E5"/>
      </right>
      <top style="thin">
        <color rgb="FFCCCCCC"/>
      </top>
      <bottom style="thin">
        <color rgb="FFE5E5E5"/>
      </bottom>
      <diagonal/>
    </border>
    <border>
      <left style="thin">
        <color rgb="FFE5E5E5"/>
      </left>
      <right style="thin">
        <color rgb="FFCCCCCC"/>
      </right>
      <top style="thin">
        <color rgb="FFCCCCCC"/>
      </top>
      <bottom style="thin">
        <color rgb="FFE5E5E5"/>
      </bottom>
      <diagonal/>
    </border>
    <border>
      <left style="thin">
        <color rgb="FFCCCCCC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 style="thin">
        <color rgb="FFE5E5E5"/>
      </left>
      <right style="thin">
        <color rgb="FFCCCCCC"/>
      </right>
      <top style="thin">
        <color rgb="FFE5E5E5"/>
      </top>
      <bottom style="thin">
        <color rgb="FFE5E5E5"/>
      </bottom>
      <diagonal/>
    </border>
    <border>
      <left style="thin">
        <color rgb="FFCAD4E0"/>
      </left>
      <right/>
      <top style="thin">
        <color rgb="FFCAD4E0"/>
      </top>
      <bottom/>
      <diagonal/>
    </border>
    <border>
      <left/>
      <right/>
      <top style="thin">
        <color rgb="FFCAD4E0"/>
      </top>
      <bottom/>
      <diagonal/>
    </border>
    <border>
      <left/>
      <right style="thin">
        <color rgb="FFCAD4E0"/>
      </right>
      <top style="thin">
        <color rgb="FFCAD4E0"/>
      </top>
      <bottom/>
      <diagonal/>
    </border>
    <border>
      <left style="thin">
        <color rgb="FFCAD4E0"/>
      </left>
      <right/>
      <top/>
      <bottom style="thin">
        <color rgb="FFCAD4E0"/>
      </bottom>
      <diagonal/>
    </border>
    <border>
      <left/>
      <right/>
      <top/>
      <bottom style="thin">
        <color rgb="FFCAD4E0"/>
      </bottom>
      <diagonal/>
    </border>
    <border>
      <left/>
      <right style="thin">
        <color rgb="FFCAD4E0"/>
      </right>
      <top/>
      <bottom style="thin">
        <color rgb="FFCAD4E0"/>
      </bottom>
      <diagonal/>
    </border>
    <border>
      <left style="thin">
        <color rgb="FFCCCCCC"/>
      </left>
      <right style="thin">
        <color rgb="FFE5E5E5"/>
      </right>
      <top style="thin">
        <color rgb="FFE5E5E5"/>
      </top>
      <bottom style="thin">
        <color rgb="FFCCCCCC"/>
      </bottom>
      <diagonal/>
    </border>
    <border>
      <left style="thin">
        <color rgb="FFE5E5E5"/>
      </left>
      <right style="thin">
        <color rgb="FFCCCCCC"/>
      </right>
      <top style="thin">
        <color rgb="FFE5E5E5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3" fontId="3" fillId="2" borderId="1" xfId="0" applyNumberFormat="1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3" fontId="8" fillId="0" borderId="5" xfId="0" applyNumberFormat="1" applyFont="1" applyBorder="1" applyAlignment="1">
      <alignment horizontal="right"/>
    </xf>
    <xf numFmtId="0" fontId="8" fillId="0" borderId="4" xfId="0" applyFont="1" applyBorder="1" applyAlignment="1">
      <alignment horizontal="left"/>
    </xf>
    <xf numFmtId="0" fontId="8" fillId="0" borderId="12" xfId="0" applyFont="1" applyBorder="1" applyAlignment="1">
      <alignment horizontal="center"/>
    </xf>
    <xf numFmtId="3" fontId="8" fillId="0" borderId="13" xfId="0" applyNumberFormat="1" applyFont="1" applyBorder="1" applyAlignment="1">
      <alignment horizontal="right"/>
    </xf>
    <xf numFmtId="0" fontId="8" fillId="0" borderId="12" xfId="0" applyFont="1" applyBorder="1" applyAlignment="1">
      <alignment horizontal="left"/>
    </xf>
    <xf numFmtId="165" fontId="12" fillId="5" borderId="9" xfId="0" applyNumberFormat="1" applyFont="1" applyFill="1" applyBorder="1" applyAlignment="1">
      <alignment horizontal="center" vertical="center"/>
    </xf>
    <xf numFmtId="0" fontId="10" fillId="0" borderId="10" xfId="0" applyFont="1" applyBorder="1"/>
    <xf numFmtId="0" fontId="10" fillId="0" borderId="11" xfId="0" applyFont="1" applyBorder="1"/>
    <xf numFmtId="3" fontId="11" fillId="5" borderId="9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0" borderId="0" xfId="0"/>
    <xf numFmtId="0" fontId="7" fillId="4" borderId="0" xfId="0" applyFont="1" applyFill="1" applyAlignment="1">
      <alignment horizontal="center" vertical="center"/>
    </xf>
    <xf numFmtId="0" fontId="9" fillId="5" borderId="6" xfId="0" applyFont="1" applyFill="1" applyBorder="1" applyAlignment="1">
      <alignment horizontal="center"/>
    </xf>
    <xf numFmtId="0" fontId="10" fillId="0" borderId="7" xfId="0" applyFont="1" applyBorder="1"/>
    <xf numFmtId="0" fontId="10" fillId="0" borderId="8" xfId="0" applyFont="1" applyBorder="1"/>
    <xf numFmtId="0" fontId="13" fillId="0" borderId="0" xfId="0" applyFont="1"/>
    <xf numFmtId="0" fontId="13" fillId="0" borderId="0" xfId="0" pivotButton="1" applyFont="1"/>
    <xf numFmtId="0" fontId="13" fillId="0" borderId="0" xfId="0" applyNumberFormat="1" applyFont="1"/>
  </cellXfs>
  <cellStyles count="1">
    <cellStyle name="Normal" xfId="0" builtinId="0"/>
  </cellStyles>
  <dxfs count="25"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FFFFF"/>
          <bgColor rgb="FFFFFFFF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Account Sales Data-style" pivot="0" count="4" xr9:uid="{00000000-0011-0000-FFFF-FFFF00000000}">
      <tableStyleElement type="wholeTable" size="0" dxfId="21"/>
      <tableStyleElement type="headerRow" dxfId="24"/>
      <tableStyleElement type="firstRowStripe" dxfId="23"/>
      <tableStyleElement type="secondRowStripe" dxfId="22"/>
    </tableStyle>
    <tableStyle name="Google Sheets Pivot Table Style" table="0" count="12" xr9:uid="{00000000-0011-0000-FFFF-FFFF01000000}">
      <tableStyleElement type="wholeTable" dxfId="20"/>
      <tableStyleElement type="headerRow" dxfId="13"/>
      <tableStyleElement type="totalRow" dxfId="9"/>
      <tableStyleElement type="firstSubtotalRow" dxfId="12"/>
      <tableStyleElement type="secondSubtotalRow" dxfId="11"/>
      <tableStyleElement type="thirdSubtotalRow" dxfId="10"/>
      <tableStyleElement type="firstColumnSubheading" dxfId="16"/>
      <tableStyleElement type="secondColumnSubheading" dxfId="15"/>
      <tableStyleElement type="thirdColumnSubheading" dxfId="14"/>
      <tableStyleElement type="firstRowSubheading" dxfId="19"/>
      <tableStyleElement type="secondRowSubheading" dxfId="18"/>
      <tableStyleElement type="thirdRowSubheading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Annual Unit Sales by Account Type (2016–2021)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9820941966375314E-2"/>
          <c:y val="0.12239276757072033"/>
          <c:w val="0.82827641870857072"/>
          <c:h val="0.6958602508019831"/>
        </c:manualLayout>
      </c:layout>
      <c:barChart>
        <c:barDir val="col"/>
        <c:grouping val="clustered"/>
        <c:varyColors val="1"/>
        <c:ser>
          <c:idx val="0"/>
          <c:order val="0"/>
          <c:tx>
            <c:v/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Lit>
              <c:ptCount val="5"/>
              <c:pt idx="0">
                <c:v>Account Type</c:v>
              </c:pt>
              <c:pt idx="1">
                <c:v>Distributor</c:v>
              </c:pt>
              <c:pt idx="2">
                <c:v>Enterprise</c:v>
              </c:pt>
              <c:pt idx="3">
                <c:v>Online</c:v>
              </c:pt>
              <c:pt idx="4">
                <c:v>Retail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2935</c:v>
              </c:pt>
              <c:pt idx="2">
                <c:v>3150</c:v>
              </c:pt>
              <c:pt idx="3">
                <c:v>238</c:v>
              </c:pt>
              <c:pt idx="4">
                <c:v>2850</c:v>
              </c:pt>
            </c:numLit>
          </c:val>
          <c:extLst>
            <c:ext xmlns:c16="http://schemas.microsoft.com/office/drawing/2014/chart" uri="{C3380CC4-5D6E-409C-BE32-E72D297353CC}">
              <c16:uniqueId val="{00000000-7377-4FE4-BD00-C6E55C9D41D4}"/>
            </c:ext>
          </c:extLst>
        </c:ser>
        <c:ser>
          <c:idx val="1"/>
          <c:order val="1"/>
          <c:tx>
            <c:v/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Lit>
              <c:ptCount val="5"/>
              <c:pt idx="0">
                <c:v>Account Type</c:v>
              </c:pt>
              <c:pt idx="1">
                <c:v>Distributor</c:v>
              </c:pt>
              <c:pt idx="2">
                <c:v>Enterprise</c:v>
              </c:pt>
              <c:pt idx="3">
                <c:v>Online</c:v>
              </c:pt>
              <c:pt idx="4">
                <c:v>Retail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3128</c:v>
              </c:pt>
              <c:pt idx="2">
                <c:v>3280</c:v>
              </c:pt>
              <c:pt idx="3">
                <c:v>406</c:v>
              </c:pt>
              <c:pt idx="4">
                <c:v>2908</c:v>
              </c:pt>
            </c:numLit>
          </c:val>
          <c:extLst>
            <c:ext xmlns:c16="http://schemas.microsoft.com/office/drawing/2014/chart" uri="{C3380CC4-5D6E-409C-BE32-E72D297353CC}">
              <c16:uniqueId val="{00000001-7377-4FE4-BD00-C6E55C9D41D4}"/>
            </c:ext>
          </c:extLst>
        </c:ser>
        <c:ser>
          <c:idx val="2"/>
          <c:order val="2"/>
          <c:tx>
            <c:v/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Lit>
              <c:ptCount val="5"/>
              <c:pt idx="0">
                <c:v>Account Type</c:v>
              </c:pt>
              <c:pt idx="1">
                <c:v>Distributor</c:v>
              </c:pt>
              <c:pt idx="2">
                <c:v>Enterprise</c:v>
              </c:pt>
              <c:pt idx="3">
                <c:v>Online</c:v>
              </c:pt>
              <c:pt idx="4">
                <c:v>Retail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3251</c:v>
              </c:pt>
              <c:pt idx="2">
                <c:v>3437</c:v>
              </c:pt>
              <c:pt idx="3">
                <c:v>740</c:v>
              </c:pt>
              <c:pt idx="4">
                <c:v>2971</c:v>
              </c:pt>
            </c:numLit>
          </c:val>
          <c:extLst>
            <c:ext xmlns:c16="http://schemas.microsoft.com/office/drawing/2014/chart" uri="{C3380CC4-5D6E-409C-BE32-E72D297353CC}">
              <c16:uniqueId val="{00000002-7377-4FE4-BD00-C6E55C9D41D4}"/>
            </c:ext>
          </c:extLst>
        </c:ser>
        <c:ser>
          <c:idx val="3"/>
          <c:order val="3"/>
          <c:tx>
            <c:v/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Lit>
              <c:ptCount val="5"/>
              <c:pt idx="0">
                <c:v>Account Type</c:v>
              </c:pt>
              <c:pt idx="1">
                <c:v>Distributor</c:v>
              </c:pt>
              <c:pt idx="2">
                <c:v>Enterprise</c:v>
              </c:pt>
              <c:pt idx="3">
                <c:v>Online</c:v>
              </c:pt>
              <c:pt idx="4">
                <c:v>Retail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3430</c:v>
              </c:pt>
              <c:pt idx="2">
                <c:v>3600</c:v>
              </c:pt>
              <c:pt idx="3">
                <c:v>1410</c:v>
              </c:pt>
              <c:pt idx="4">
                <c:v>3064</c:v>
              </c:pt>
            </c:numLit>
          </c:val>
          <c:extLst>
            <c:ext xmlns:c16="http://schemas.microsoft.com/office/drawing/2014/chart" uri="{C3380CC4-5D6E-409C-BE32-E72D297353CC}">
              <c16:uniqueId val="{00000003-7377-4FE4-BD00-C6E55C9D41D4}"/>
            </c:ext>
          </c:extLst>
        </c:ser>
        <c:ser>
          <c:idx val="4"/>
          <c:order val="4"/>
          <c:tx>
            <c:v/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cat>
            <c:strLit>
              <c:ptCount val="5"/>
              <c:pt idx="0">
                <c:v>Account Type</c:v>
              </c:pt>
              <c:pt idx="1">
                <c:v>Distributor</c:v>
              </c:pt>
              <c:pt idx="2">
                <c:v>Enterprise</c:v>
              </c:pt>
              <c:pt idx="3">
                <c:v>Online</c:v>
              </c:pt>
              <c:pt idx="4">
                <c:v>Retail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3637</c:v>
              </c:pt>
              <c:pt idx="2">
                <c:v>3805</c:v>
              </c:pt>
              <c:pt idx="3">
                <c:v>2730</c:v>
              </c:pt>
              <c:pt idx="4">
                <c:v>3176</c:v>
              </c:pt>
            </c:numLit>
          </c:val>
          <c:extLst>
            <c:ext xmlns:c16="http://schemas.microsoft.com/office/drawing/2014/chart" uri="{C3380CC4-5D6E-409C-BE32-E72D297353CC}">
              <c16:uniqueId val="{00000004-7377-4FE4-BD00-C6E55C9D41D4}"/>
            </c:ext>
          </c:extLst>
        </c:ser>
        <c:ser>
          <c:idx val="5"/>
          <c:order val="5"/>
          <c:tx>
            <c:v/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cat>
            <c:strLit>
              <c:ptCount val="5"/>
              <c:pt idx="0">
                <c:v>Account Type</c:v>
              </c:pt>
              <c:pt idx="1">
                <c:v>Distributor</c:v>
              </c:pt>
              <c:pt idx="2">
                <c:v>Enterprise</c:v>
              </c:pt>
              <c:pt idx="3">
                <c:v>Online</c:v>
              </c:pt>
              <c:pt idx="4">
                <c:v>Retail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3861</c:v>
              </c:pt>
              <c:pt idx="2">
                <c:v>4051</c:v>
              </c:pt>
              <c:pt idx="3">
                <c:v>5140</c:v>
              </c:pt>
              <c:pt idx="4">
                <c:v>3299</c:v>
              </c:pt>
            </c:numLit>
          </c:val>
          <c:extLst>
            <c:ext xmlns:c16="http://schemas.microsoft.com/office/drawing/2014/chart" uri="{C3380CC4-5D6E-409C-BE32-E72D297353CC}">
              <c16:uniqueId val="{00000005-7377-4FE4-BD00-C6E55C9D4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2254443"/>
        <c:axId val="1639325459"/>
      </c:barChart>
      <c:catAx>
        <c:axId val="11522544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Account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39325459"/>
        <c:crosses val="autoZero"/>
        <c:auto val="1"/>
        <c:lblAlgn val="ctr"/>
        <c:lblOffset val="100"/>
        <c:noMultiLvlLbl val="1"/>
      </c:catAx>
      <c:valAx>
        <c:axId val="16393254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Unit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5225444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0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Unit Sales by Year (2016–2021)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Dashboard!$Q$2</c:f>
              <c:strCache>
                <c:ptCount val="1"/>
                <c:pt idx="0">
                  <c:v>Unit Sales</c:v>
                </c:pt>
              </c:strCache>
            </c:strRef>
          </c:tx>
          <c:spPr>
            <a:ln cmpd="sng">
              <a:solidFill>
                <a:srgbClr val="1E3989"/>
              </a:solidFill>
            </a:ln>
          </c:spPr>
          <c:marker>
            <c:symbol val="none"/>
          </c:marker>
          <c:cat>
            <c:numRef>
              <c:f>Dashboard!$P$3:$P$8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</c:numCache>
            </c:numRef>
          </c:cat>
          <c:val>
            <c:numRef>
              <c:f>Dashboard!$Q$3:$Q$8</c:f>
              <c:numCache>
                <c:formatCode>#,##0</c:formatCode>
                <c:ptCount val="6"/>
                <c:pt idx="0">
                  <c:v>9773</c:v>
                </c:pt>
                <c:pt idx="1">
                  <c:v>10380</c:v>
                </c:pt>
                <c:pt idx="2">
                  <c:v>11115</c:v>
                </c:pt>
                <c:pt idx="3">
                  <c:v>12283</c:v>
                </c:pt>
                <c:pt idx="4">
                  <c:v>14193</c:v>
                </c:pt>
                <c:pt idx="5">
                  <c:v>17278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62-4F82-A9F0-3C6823B7E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7820436"/>
        <c:axId val="307755202"/>
      </c:lineChart>
      <c:catAx>
        <c:axId val="18778204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07755202"/>
        <c:crosses val="autoZero"/>
        <c:auto val="1"/>
        <c:lblAlgn val="ctr"/>
        <c:lblOffset val="100"/>
        <c:noMultiLvlLbl val="1"/>
      </c:catAx>
      <c:valAx>
        <c:axId val="3077552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Total Unit Sales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7782043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2021 Unit Sales by Account Type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Dashboard!$Q$10</c:f>
              <c:strCache>
                <c:ptCount val="1"/>
                <c:pt idx="0">
                  <c:v>2021 Unit Sales</c:v>
                </c:pt>
              </c:strCache>
            </c:strRef>
          </c:tx>
          <c:spPr>
            <a:solidFill>
              <a:srgbClr val="344479"/>
            </a:solidFill>
            <a:ln cmpd="sng">
              <a:noFill/>
            </a:ln>
          </c:spPr>
          <c:invertIfNegative val="0"/>
          <c:cat>
            <c:strRef>
              <c:f>Dashboard!$P$11:$P$15</c:f>
              <c:strCache>
                <c:ptCount val="5"/>
                <c:pt idx="0">
                  <c:v>Distributor</c:v>
                </c:pt>
                <c:pt idx="1">
                  <c:v>Enterprise</c:v>
                </c:pt>
                <c:pt idx="2">
                  <c:v>Online</c:v>
                </c:pt>
                <c:pt idx="3">
                  <c:v>Retail</c:v>
                </c:pt>
                <c:pt idx="4">
                  <c:v>Small Business</c:v>
                </c:pt>
              </c:strCache>
            </c:strRef>
          </c:cat>
          <c:val>
            <c:numRef>
              <c:f>Dashboard!$Q$11:$Q$15</c:f>
              <c:numCache>
                <c:formatCode>#,##0</c:formatCode>
                <c:ptCount val="5"/>
                <c:pt idx="0">
                  <c:v>3861</c:v>
                </c:pt>
                <c:pt idx="1">
                  <c:v>4051</c:v>
                </c:pt>
                <c:pt idx="2">
                  <c:v>5140</c:v>
                </c:pt>
                <c:pt idx="3">
                  <c:v>3299</c:v>
                </c:pt>
                <c:pt idx="4">
                  <c:v>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D-47C6-B8DF-47CD5319C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0918583"/>
        <c:axId val="1427907026"/>
      </c:barChart>
      <c:catAx>
        <c:axId val="12609185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Account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27907026"/>
        <c:crosses val="autoZero"/>
        <c:auto val="1"/>
        <c:lblAlgn val="ctr"/>
        <c:lblOffset val="100"/>
        <c:noMultiLvlLbl val="1"/>
      </c:catAx>
      <c:valAx>
        <c:axId val="14279070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2021 Unit Sales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60918583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Top 10 Accounts by 2021 Unit Sales</a:t>
            </a:r>
          </a:p>
        </c:rich>
      </c:tx>
      <c:layout>
        <c:manualLayout>
          <c:xMode val="edge"/>
          <c:yMode val="edge"/>
          <c:x val="0.42547550782080462"/>
          <c:y val="3.8596491228070177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Dashboard!$T$2</c:f>
              <c:strCache>
                <c:ptCount val="1"/>
                <c:pt idx="0">
                  <c:v>2021 Unit Sales</c:v>
                </c:pt>
              </c:strCache>
            </c:strRef>
          </c:tx>
          <c:spPr>
            <a:solidFill>
              <a:srgbClr val="2462EB"/>
            </a:solidFill>
            <a:ln cmpd="sng">
              <a:noFill/>
            </a:ln>
          </c:spPr>
          <c:invertIfNegative val="0"/>
          <c:cat>
            <c:strRef>
              <c:f>Dashboard!$S$3:$S$12</c:f>
              <c:strCache>
                <c:ptCount val="10"/>
                <c:pt idx="0">
                  <c:v>Cloudline Commerce</c:v>
                </c:pt>
                <c:pt idx="1">
                  <c:v>Juniper Digital</c:v>
                </c:pt>
                <c:pt idx="2">
                  <c:v>Orbit Commerce</c:v>
                </c:pt>
                <c:pt idx="3">
                  <c:v>MetroWorks Supply</c:v>
                </c:pt>
                <c:pt idx="4">
                  <c:v>Keystone Business Group</c:v>
                </c:pt>
                <c:pt idx="5">
                  <c:v>Ironwood Distribution</c:v>
                </c:pt>
                <c:pt idx="6">
                  <c:v>Silverline Distribution</c:v>
                </c:pt>
                <c:pt idx="7">
                  <c:v>Westbrook Distribution</c:v>
                </c:pt>
                <c:pt idx="8">
                  <c:v>Peakline Commerce</c:v>
                </c:pt>
                <c:pt idx="9">
                  <c:v>Granite Bay Wholesale</c:v>
                </c:pt>
              </c:strCache>
            </c:strRef>
          </c:cat>
          <c:val>
            <c:numRef>
              <c:f>Dashboard!$T$3:$T$12</c:f>
              <c:numCache>
                <c:formatCode>#,##0</c:formatCode>
                <c:ptCount val="10"/>
                <c:pt idx="0">
                  <c:v>1450</c:v>
                </c:pt>
                <c:pt idx="1">
                  <c:v>1180</c:v>
                </c:pt>
                <c:pt idx="2">
                  <c:v>980</c:v>
                </c:pt>
                <c:pt idx="3">
                  <c:v>820</c:v>
                </c:pt>
                <c:pt idx="4">
                  <c:v>748</c:v>
                </c:pt>
                <c:pt idx="5">
                  <c:v>705</c:v>
                </c:pt>
                <c:pt idx="6">
                  <c:v>640</c:v>
                </c:pt>
                <c:pt idx="7">
                  <c:v>590</c:v>
                </c:pt>
                <c:pt idx="8">
                  <c:v>560</c:v>
                </c:pt>
                <c:pt idx="9">
                  <c:v>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68-4471-8B82-D70F74326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8044144"/>
        <c:axId val="1099487264"/>
      </c:barChart>
      <c:catAx>
        <c:axId val="59804414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Account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99487264"/>
        <c:crosses val="autoZero"/>
        <c:auto val="1"/>
        <c:lblAlgn val="ctr"/>
        <c:lblOffset val="100"/>
        <c:noMultiLvlLbl val="1"/>
      </c:catAx>
      <c:valAx>
        <c:axId val="10994872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2021 Unit Sales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98044144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82468</xdr:colOff>
      <xdr:row>9</xdr:row>
      <xdr:rowOff>26653</xdr:rowOff>
    </xdr:from>
    <xdr:ext cx="11009414" cy="4286250"/>
    <xdr:graphicFrame macro="">
      <xdr:nvGraphicFramePr>
        <xdr:cNvPr id="2" name="Chart 1" title="Annual Unit Sales by Account Type (2016–2021)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296333</xdr:colOff>
      <xdr:row>6</xdr:row>
      <xdr:rowOff>14111</xdr:rowOff>
    </xdr:from>
    <xdr:ext cx="5143500" cy="3143250"/>
    <xdr:graphicFrame macro="">
      <xdr:nvGraphicFramePr>
        <xdr:cNvPr id="2" name="Chart 2" title="Unit Sales by Year (2016–2021)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931332</xdr:colOff>
      <xdr:row>6</xdr:row>
      <xdr:rowOff>0</xdr:rowOff>
    </xdr:from>
    <xdr:ext cx="5573889" cy="3143250"/>
    <xdr:graphicFrame macro="">
      <xdr:nvGraphicFramePr>
        <xdr:cNvPr id="3" name="Chart 3" title="2021 Unit Sales by Account Typ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56445</xdr:colOff>
      <xdr:row>23</xdr:row>
      <xdr:rowOff>141111</xdr:rowOff>
    </xdr:from>
    <xdr:ext cx="11105443" cy="3619500"/>
    <xdr:graphicFrame macro="">
      <xdr:nvGraphicFramePr>
        <xdr:cNvPr id="4" name="Chart 4" title="Top 10 Accounts by 2021 Unit Sales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avi kumar" refreshedDate="46316.594322685189" refreshedVersion="8" recordCount="40" xr:uid="{00000000-000A-0000-FFFF-FFFF00000000}">
  <cacheSource type="worksheet">
    <worksheetSource ref="A1:M41" sheet="Account Sales Data"/>
  </cacheSource>
  <cacheFields count="13">
    <cacheField name="Account ID" numFmtId="0">
      <sharedItems/>
    </cacheField>
    <cacheField name="Account Name" numFmtId="0">
      <sharedItems/>
    </cacheField>
    <cacheField name="Account Type" numFmtId="0">
      <sharedItems count="5">
        <s v="Enterprise"/>
        <s v="Retail"/>
        <s v="Small Business"/>
        <s v="Distributor"/>
        <s v="Online"/>
      </sharedItems>
    </cacheField>
    <cacheField name="Region" numFmtId="0">
      <sharedItems/>
    </cacheField>
    <cacheField name="Product 1" numFmtId="0">
      <sharedItems/>
    </cacheField>
    <cacheField name="Product 2" numFmtId="0">
      <sharedItems/>
    </cacheField>
    <cacheField name="2016 Unit Sales" numFmtId="3">
      <sharedItems containsSemiMixedTypes="0" containsString="0" containsNumber="1" containsInteger="1" minValue="18" maxValue="610"/>
    </cacheField>
    <cacheField name="2017 Unit Sales" numFmtId="3">
      <sharedItems containsSemiMixedTypes="0" containsString="0" containsNumber="1" containsInteger="1" minValue="42" maxValue="640"/>
    </cacheField>
    <cacheField name="2018 Unit Sales" numFmtId="3">
      <sharedItems containsSemiMixedTypes="0" containsString="0" containsNumber="1" containsInteger="1" minValue="90" maxValue="675"/>
    </cacheField>
    <cacheField name="2019 Unit Sales" numFmtId="3">
      <sharedItems containsSemiMixedTypes="0" containsString="0" containsNumber="1" containsInteger="1" minValue="101" maxValue="710"/>
    </cacheField>
    <cacheField name="2020 Unit Sales" numFmtId="3">
      <sharedItems containsSemiMixedTypes="0" containsString="0" containsNumber="1" containsInteger="1" minValue="102" maxValue="760"/>
    </cacheField>
    <cacheField name="2021 Unit Sales" numFmtId="3">
      <sharedItems containsSemiMixedTypes="0" containsString="0" containsNumber="1" containsInteger="1" minValue="98" maxValue="1450"/>
    </cacheField>
    <cacheField name="5 YR CAGR" numFmtId="164">
      <sharedItems containsSemiMixedTypes="0" containsString="0" containsNumber="1" minValue="-7.9638517558145216E-2" maxValue="1.40557609521813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AC-1001"/>
    <s v="Northstar Office Supply"/>
    <x v="0"/>
    <s v="North"/>
    <s v="Yes"/>
    <s v="Yes"/>
    <n v="210"/>
    <n v="235"/>
    <n v="260"/>
    <n v="280"/>
    <n v="305"/>
    <n v="340"/>
    <n v="0.10116379654429841"/>
  </r>
  <r>
    <s v="AC-1002"/>
    <s v="Cedar Lane Market"/>
    <x v="1"/>
    <s v="West"/>
    <s v="Yes"/>
    <s v="No"/>
    <n v="180"/>
    <n v="172"/>
    <n v="165"/>
    <n v="158"/>
    <n v="150"/>
    <n v="142"/>
    <n v="-4.6318917654029179E-2"/>
  </r>
  <r>
    <s v="AC-1003"/>
    <s v="BrightPath Services"/>
    <x v="2"/>
    <s v="East"/>
    <s v="Yes"/>
    <s v="Yes"/>
    <n v="95"/>
    <n v="110"/>
    <n v="128"/>
    <n v="141"/>
    <n v="162"/>
    <n v="185"/>
    <n v="0.14258791065592158"/>
  </r>
  <r>
    <s v="AC-1004"/>
    <s v="Harborview Goods"/>
    <x v="3"/>
    <s v="South"/>
    <s v="Yes"/>
    <s v="No"/>
    <n v="320"/>
    <n v="345"/>
    <n v="360"/>
    <n v="390"/>
    <n v="420"/>
    <n v="455"/>
    <n v="7.2932211056065954E-2"/>
  </r>
  <r>
    <s v="AC-1005"/>
    <s v="Summit Ridge Retail"/>
    <x v="1"/>
    <s v="Central"/>
    <s v="Yes"/>
    <s v="Yes"/>
    <n v="250"/>
    <n v="245"/>
    <n v="255"/>
    <n v="270"/>
    <n v="285"/>
    <n v="300"/>
    <n v="3.7137289336648172E-2"/>
  </r>
  <r>
    <s v="AC-1006"/>
    <s v="BluePeak Solutions"/>
    <x v="0"/>
    <s v="West"/>
    <s v="Yes"/>
    <s v="No"/>
    <n v="140"/>
    <n v="155"/>
    <n v="180"/>
    <n v="195"/>
    <n v="210"/>
    <n v="240"/>
    <n v="0.11382417860287908"/>
  </r>
  <r>
    <s v="AC-1007"/>
    <s v="Maple Street Co."/>
    <x v="2"/>
    <s v="North"/>
    <s v="Yes"/>
    <s v="Yes"/>
    <n v="75"/>
    <n v="82"/>
    <n v="90"/>
    <n v="101"/>
    <n v="112"/>
    <n v="128"/>
    <n v="0.11283234784082463"/>
  </r>
  <r>
    <s v="AC-1008"/>
    <s v="Evergreen Wholesale"/>
    <x v="3"/>
    <s v="East"/>
    <s v="Yes"/>
    <s v="Yes"/>
    <n v="360"/>
    <n v="398"/>
    <n v="390"/>
    <n v="405"/>
    <n v="430"/>
    <n v="448"/>
    <n v="4.4708438422444985E-2"/>
  </r>
  <r>
    <s v="AC-1009"/>
    <s v="Golden Field Retail"/>
    <x v="1"/>
    <s v="South"/>
    <s v="Yes"/>
    <s v="No"/>
    <n v="265"/>
    <n v="240"/>
    <n v="220"/>
    <n v="205"/>
    <n v="190"/>
    <n v="175"/>
    <n v="-7.9638517558145216E-2"/>
  </r>
  <r>
    <s v="AC-1010"/>
    <s v="Orbit Commerce"/>
    <x v="4"/>
    <s v="West"/>
    <s v="Yes"/>
    <s v="Yes"/>
    <n v="30"/>
    <n v="58"/>
    <n v="120"/>
    <n v="260"/>
    <n v="520"/>
    <n v="980"/>
    <n v="1.0082647444824535"/>
  </r>
  <r>
    <s v="AC-1011"/>
    <s v="Pioneer Business Group"/>
    <x v="0"/>
    <s v="Central"/>
    <s v="Yes"/>
    <s v="Yes"/>
    <n v="360"/>
    <n v="375"/>
    <n v="392"/>
    <n v="410"/>
    <n v="445"/>
    <n v="470"/>
    <n v="5.4773163227226584E-2"/>
  </r>
  <r>
    <s v="AC-1012"/>
    <s v="Redwood Home Market"/>
    <x v="1"/>
    <s v="North"/>
    <s v="Yes"/>
    <s v="No"/>
    <n v="205"/>
    <n v="212"/>
    <n v="218"/>
    <n v="225"/>
    <n v="230"/>
    <n v="236"/>
    <n v="2.856473075285848E-2"/>
  </r>
  <r>
    <s v="AC-1013"/>
    <s v="Silverline Distribution"/>
    <x v="3"/>
    <s v="East"/>
    <s v="Yes"/>
    <s v="Yes"/>
    <n v="470"/>
    <n v="510"/>
    <n v="535"/>
    <n v="565"/>
    <n v="600"/>
    <n v="640"/>
    <n v="6.3693298769017082E-2"/>
  </r>
  <r>
    <s v="AC-1014"/>
    <s v="Juniper Digital"/>
    <x v="4"/>
    <s v="South"/>
    <s v="Yes"/>
    <s v="Yes"/>
    <n v="22"/>
    <n v="48"/>
    <n v="110"/>
    <n v="245"/>
    <n v="540"/>
    <n v="1180"/>
    <n v="1.2176441812565364"/>
  </r>
  <r>
    <s v="AC-1015"/>
    <s v="Stonebridge Supply"/>
    <x v="2"/>
    <s v="West"/>
    <s v="Yes"/>
    <s v="No"/>
    <n v="125"/>
    <n v="118"/>
    <n v="112"/>
    <n v="108"/>
    <n v="102"/>
    <n v="98"/>
    <n v="-4.7503885949247371E-2"/>
  </r>
  <r>
    <s v="AC-1016"/>
    <s v="Lakefront Retailers"/>
    <x v="1"/>
    <s v="Central"/>
    <s v="Yes"/>
    <s v="Yes"/>
    <n v="290"/>
    <n v="315"/>
    <n v="330"/>
    <n v="350"/>
    <n v="375"/>
    <n v="405"/>
    <n v="6.9082954178721234E-2"/>
  </r>
  <r>
    <s v="AC-1017"/>
    <s v="Crescent Operations"/>
    <x v="0"/>
    <s v="North"/>
    <s v="Yes"/>
    <s v="No"/>
    <n v="520"/>
    <n v="500"/>
    <n v="475"/>
    <n v="460"/>
    <n v="445"/>
    <n v="430"/>
    <n v="-3.7295454485075763E-2"/>
  </r>
  <r>
    <s v="AC-1018"/>
    <s v="Vista Point Market"/>
    <x v="1"/>
    <s v="East"/>
    <s v="Yes"/>
    <s v="Yes"/>
    <n v="155"/>
    <n v="175"/>
    <n v="190"/>
    <n v="210"/>
    <n v="235"/>
    <n v="260"/>
    <n v="0.10899178727659797"/>
  </r>
  <r>
    <s v="AC-1019"/>
    <s v="Cloudline Commerce"/>
    <x v="4"/>
    <s v="South"/>
    <s v="Yes"/>
    <s v="Yes"/>
    <n v="18"/>
    <n v="42"/>
    <n v="105"/>
    <n v="270"/>
    <n v="690"/>
    <n v="1450"/>
    <n v="1.4055760952181391"/>
  </r>
  <r>
    <s v="AC-1020"/>
    <s v="Oak &amp; Pine Wholesale"/>
    <x v="3"/>
    <s v="West"/>
    <s v="Yes"/>
    <s v="No"/>
    <n v="385"/>
    <n v="400"/>
    <n v="418"/>
    <n v="430"/>
    <n v="452"/>
    <n v="475"/>
    <n v="4.2909385938183275E-2"/>
  </r>
  <r>
    <s v="AC-1021"/>
    <s v="MetroWorks Supply"/>
    <x v="0"/>
    <s v="Central"/>
    <s v="Yes"/>
    <s v="Yes"/>
    <n v="610"/>
    <n v="640"/>
    <n v="675"/>
    <n v="710"/>
    <n v="760"/>
    <n v="820"/>
    <n v="6.0954608193515281E-2"/>
  </r>
  <r>
    <s v="AC-1022"/>
    <s v="Riverbend Market"/>
    <x v="1"/>
    <s v="North"/>
    <s v="Yes"/>
    <s v="No"/>
    <n v="195"/>
    <n v="188"/>
    <n v="180"/>
    <n v="172"/>
    <n v="166"/>
    <n v="160"/>
    <n v="-3.8792669424616677E-2"/>
  </r>
  <r>
    <s v="AC-1023"/>
    <s v="Skyline Business Services"/>
    <x v="2"/>
    <s v="East"/>
    <s v="Yes"/>
    <s v="Yes"/>
    <n v="88"/>
    <n v="105"/>
    <n v="122"/>
    <n v="140"/>
    <n v="158"/>
    <n v="180"/>
    <n v="0.15387288143462308"/>
  </r>
  <r>
    <s v="AC-1024"/>
    <s v="Westbrook Distribution"/>
    <x v="3"/>
    <s v="South"/>
    <s v="Yes"/>
    <s v="Yes"/>
    <n v="440"/>
    <n v="465"/>
    <n v="490"/>
    <n v="520"/>
    <n v="555"/>
    <n v="590"/>
    <n v="6.042477819475911E-2"/>
  </r>
  <r>
    <s v="AC-1025"/>
    <s v="Aspen Retail Group"/>
    <x v="1"/>
    <s v="West"/>
    <s v="Yes"/>
    <s v="No"/>
    <n v="275"/>
    <n v="295"/>
    <n v="310"/>
    <n v="328"/>
    <n v="350"/>
    <n v="372"/>
    <n v="6.2287446362500054E-2"/>
  </r>
  <r>
    <s v="AC-1026"/>
    <s v="Clearview Products"/>
    <x v="0"/>
    <s v="Central"/>
    <s v="Yes"/>
    <s v="Yes"/>
    <n v="340"/>
    <n v="355"/>
    <n v="380"/>
    <n v="405"/>
    <n v="435"/>
    <n v="468"/>
    <n v="6.5990629813594603E-2"/>
  </r>
  <r>
    <s v="AC-1027"/>
    <s v="Beacon Hill Market"/>
    <x v="1"/>
    <s v="North"/>
    <s v="Yes"/>
    <s v="No"/>
    <n v="160"/>
    <n v="154"/>
    <n v="149"/>
    <n v="143"/>
    <n v="138"/>
    <n v="132"/>
    <n v="-3.7743641153101026E-2"/>
  </r>
  <r>
    <s v="AC-1028"/>
    <s v="Momentum Commerce"/>
    <x v="4"/>
    <s v="East"/>
    <s v="Yes"/>
    <s v="Yes"/>
    <n v="48"/>
    <n v="76"/>
    <n v="120"/>
    <n v="190"/>
    <n v="305"/>
    <n v="510"/>
    <n v="0.6042268754060236"/>
  </r>
  <r>
    <s v="AC-1029"/>
    <s v="Parkside Supply"/>
    <x v="2"/>
    <s v="South"/>
    <s v="Yes"/>
    <s v="No"/>
    <n v="115"/>
    <n v="128"/>
    <n v="135"/>
    <n v="145"/>
    <n v="150"/>
    <n v="158"/>
    <n v="6.55942032889687E-2"/>
  </r>
  <r>
    <s v="AC-1030"/>
    <s v="Ironwood Distribution"/>
    <x v="3"/>
    <s v="West"/>
    <s v="Yes"/>
    <s v="Yes"/>
    <n v="505"/>
    <n v="540"/>
    <n v="570"/>
    <n v="615"/>
    <n v="655"/>
    <n v="705"/>
    <n v="6.900453541794338E-2"/>
  </r>
  <r>
    <s v="AC-1031"/>
    <s v="Springline Retail"/>
    <x v="1"/>
    <s v="Central"/>
    <s v="Yes"/>
    <s v="Yes"/>
    <n v="225"/>
    <n v="250"/>
    <n v="272"/>
    <n v="295"/>
    <n v="318"/>
    <n v="345"/>
    <n v="8.9249364912943774E-2"/>
  </r>
  <r>
    <s v="AC-1032"/>
    <s v="Summit Digital Market"/>
    <x v="4"/>
    <s v="North"/>
    <s v="Yes"/>
    <s v="No"/>
    <n v="65"/>
    <n v="92"/>
    <n v="135"/>
    <n v="205"/>
    <n v="310"/>
    <n v="460"/>
    <n v="0.47900245542132969"/>
  </r>
  <r>
    <s v="AC-1033"/>
    <s v="Willow Creek Supply"/>
    <x v="0"/>
    <s v="East"/>
    <s v="Yes"/>
    <s v="Yes"/>
    <n v="395"/>
    <n v="420"/>
    <n v="445"/>
    <n v="475"/>
    <n v="505"/>
    <n v="535"/>
    <n v="6.2554799407066985E-2"/>
  </r>
  <r>
    <s v="AC-1034"/>
    <s v="Horizon Goods"/>
    <x v="1"/>
    <s v="Central"/>
    <s v="Yes"/>
    <s v="No"/>
    <n v="245"/>
    <n v="232"/>
    <n v="220"/>
    <n v="210"/>
    <n v="202"/>
    <n v="194"/>
    <n v="-4.5607255414608971E-2"/>
  </r>
  <r>
    <s v="AC-1035"/>
    <s v="Elm Street Services"/>
    <x v="2"/>
    <s v="West"/>
    <s v="Yes"/>
    <s v="Yes"/>
    <n v="102"/>
    <n v="115"/>
    <n v="129"/>
    <n v="144"/>
    <n v="161"/>
    <n v="178"/>
    <n v="0.11779964179892599"/>
  </r>
  <r>
    <s v="AC-1036"/>
    <s v="Peakline Commerce"/>
    <x v="4"/>
    <s v="Central"/>
    <s v="Yes"/>
    <s v="Yes"/>
    <n v="55"/>
    <n v="90"/>
    <n v="150"/>
    <n v="240"/>
    <n v="365"/>
    <n v="560"/>
    <n v="0.59061497741214053"/>
  </r>
  <r>
    <s v="AC-1037"/>
    <s v="Granite Bay Wholesale"/>
    <x v="3"/>
    <s v="North"/>
    <s v="Yes"/>
    <s v="No"/>
    <n v="455"/>
    <n v="470"/>
    <n v="488"/>
    <n v="505"/>
    <n v="525"/>
    <n v="548"/>
    <n v="3.789598604399913E-2"/>
  </r>
  <r>
    <s v="AC-1038"/>
    <s v="Meadowbrook Retail"/>
    <x v="1"/>
    <s v="East"/>
    <s v="Yes"/>
    <s v="Yes"/>
    <n v="215"/>
    <n v="225"/>
    <n v="240"/>
    <n v="258"/>
    <n v="275"/>
    <n v="292"/>
    <n v="6.3136131678833474E-2"/>
  </r>
  <r>
    <s v="AC-1039"/>
    <s v="Keystone Business Group"/>
    <x v="0"/>
    <s v="South"/>
    <s v="Yes"/>
    <s v="No"/>
    <n v="575"/>
    <n v="600"/>
    <n v="630"/>
    <n v="665"/>
    <n v="700"/>
    <n v="748"/>
    <n v="5.4014900836661273E-2"/>
  </r>
  <r>
    <s v="AC-1040"/>
    <s v="Nova Lane Market"/>
    <x v="1"/>
    <s v="West"/>
    <s v="Yes"/>
    <s v="Yes"/>
    <n v="190"/>
    <n v="205"/>
    <n v="222"/>
    <n v="240"/>
    <n v="262"/>
    <n v="286"/>
    <n v="8.5231738146507974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Summary" cacheId="4" applyNumberFormats="0" applyBorderFormats="0" applyFontFormats="0" applyPatternFormats="0" applyAlignmentFormats="0" applyWidthHeightFormats="0" dataCaption="" updatedVersion="8" compact="0" compactData="0">
  <location ref="A1:G8" firstHeaderRow="1" firstDataRow="2" firstDataCol="1"/>
  <pivotFields count="13">
    <pivotField name="Account ID" compact="0" outline="0" multipleItemSelectionAllowed="1" showAll="0"/>
    <pivotField name="Account Name" compact="0" outline="0" multipleItemSelectionAllowed="1" showAll="0"/>
    <pivotField name="Account Type" axis="axisRow" compact="0" outline="0" multipleItemSelectionAllowed="1" showAll="0" sortType="ascending">
      <items count="6">
        <item x="3"/>
        <item x="0"/>
        <item x="4"/>
        <item x="1"/>
        <item x="2"/>
        <item t="default"/>
      </items>
    </pivotField>
    <pivotField name="Region" compact="0" outline="0" multipleItemSelectionAllowed="1" showAll="0"/>
    <pivotField name="Product 1" compact="0" outline="0" multipleItemSelectionAllowed="1" showAll="0"/>
    <pivotField name="Product 2" compact="0" outline="0" multipleItemSelectionAllowed="1" showAll="0"/>
    <pivotField name="2016 Unit Sales" dataField="1" compact="0" numFmtId="3" outline="0" multipleItemSelectionAllowed="1" showAll="0"/>
    <pivotField name="2017 Unit Sales" dataField="1" compact="0" numFmtId="3" outline="0" multipleItemSelectionAllowed="1" showAll="0"/>
    <pivotField name="2018 Unit Sales" dataField="1" compact="0" numFmtId="3" outline="0" multipleItemSelectionAllowed="1" showAll="0"/>
    <pivotField name="2019 Unit Sales" dataField="1" compact="0" numFmtId="3" outline="0" multipleItemSelectionAllowed="1" showAll="0"/>
    <pivotField name="2020 Unit Sales" dataField="1" compact="0" numFmtId="3" outline="0" multipleItemSelectionAllowed="1" showAll="0"/>
    <pivotField name="2021 Unit Sales" dataField="1" compact="0" numFmtId="3" outline="0" multipleItemSelectionAllowed="1" showAll="0"/>
    <pivotField name="5 YR CAGR" compact="0" numFmtId="164" outline="0" multipleItemSelectionAllowe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2016 Unit Sales" fld="6" baseField="0"/>
    <dataField name="2017 Unit Sales" fld="7" baseField="0"/>
    <dataField name="2018 Unit Sales" fld="8" baseField="0"/>
    <dataField name="2019 Unit Sales" fld="9" baseField="0"/>
    <dataField name="2020 Unit Sales" fld="10" baseField="0"/>
    <dataField name="2021 Unit Sales" fld="11" baseField="0"/>
  </dataFields>
  <formats count="9">
    <format dxfId="8">
      <pivotArea type="all" dataOnly="0" outline="0" fieldPosition="0"/>
    </format>
    <format dxfId="7">
      <pivotArea outline="0" fieldPosition="0"/>
    </format>
    <format dxfId="6">
      <pivotArea type="origin" dataOnly="0" labelOnly="1" outline="0" fieldPosition="0"/>
    </format>
    <format dxfId="5">
      <pivotArea field="-2" type="button" dataOnly="0" labelOnly="1" outline="0" axis="axisCol" fieldPosition="0"/>
    </format>
    <format dxfId="4">
      <pivotArea type="topRight" dataOnly="0" labelOnly="1" outline="0" fieldPosition="0"/>
    </format>
    <format dxfId="3">
      <pivotArea field="2" type="button" dataOnly="0" labelOnly="1" outline="0" axis="axisRow" fieldPosition="0"/>
    </format>
    <format dxfId="2">
      <pivotArea dataOnly="0" labelOnly="1" outline="0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Google Sheets Pivot Table Style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countSalesData" displayName="AccountSalesData" ref="A1:M41">
  <tableColumns count="13">
    <tableColumn id="1" xr3:uid="{00000000-0010-0000-0000-000001000000}" name="Account ID"/>
    <tableColumn id="2" xr3:uid="{00000000-0010-0000-0000-000002000000}" name="Account Name"/>
    <tableColumn id="3" xr3:uid="{00000000-0010-0000-0000-000003000000}" name="Account Type"/>
    <tableColumn id="4" xr3:uid="{00000000-0010-0000-0000-000004000000}" name="Region"/>
    <tableColumn id="5" xr3:uid="{00000000-0010-0000-0000-000005000000}" name="Product 1"/>
    <tableColumn id="6" xr3:uid="{00000000-0010-0000-0000-000006000000}" name="Product 2"/>
    <tableColumn id="7" xr3:uid="{00000000-0010-0000-0000-000007000000}" name="2016 Unit Sales"/>
    <tableColumn id="8" xr3:uid="{00000000-0010-0000-0000-000008000000}" name="2017 Unit Sales"/>
    <tableColumn id="9" xr3:uid="{00000000-0010-0000-0000-000009000000}" name="2018 Unit Sales"/>
    <tableColumn id="10" xr3:uid="{00000000-0010-0000-0000-00000A000000}" name="2019 Unit Sales"/>
    <tableColumn id="11" xr3:uid="{00000000-0010-0000-0000-00000B000000}" name="2020 Unit Sales"/>
    <tableColumn id="12" xr3:uid="{00000000-0010-0000-0000-00000C000000}" name="2021 Unit Sales"/>
    <tableColumn id="13" xr3:uid="{00000000-0010-0000-0000-00000D000000}" name="5 YR CAGR"/>
  </tableColumns>
  <tableStyleInfo name="Account Sales 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opLeftCell="J1" workbookViewId="0">
      <pane ySplit="1" topLeftCell="A2" activePane="bottomLeft" state="frozen"/>
      <selection pane="bottomLeft" activeCell="E11" sqref="C11:E11"/>
    </sheetView>
  </sheetViews>
  <sheetFormatPr defaultColWidth="14.453125" defaultRowHeight="15" customHeight="1" x14ac:dyDescent="0.35"/>
  <cols>
    <col min="1" max="1" width="13" customWidth="1"/>
    <col min="2" max="2" width="28" customWidth="1"/>
    <col min="3" max="3" width="18" customWidth="1"/>
    <col min="4" max="4" width="12" customWidth="1"/>
    <col min="5" max="6" width="11" customWidth="1"/>
    <col min="7" max="12" width="19.54296875" customWidth="1"/>
    <col min="13" max="13" width="15.453125" customWidth="1"/>
    <col min="14" max="26" width="8.7265625" customWidth="1"/>
  </cols>
  <sheetData>
    <row r="1" spans="1:13" ht="31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5" customHeight="1" x14ac:dyDescent="0.3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17</v>
      </c>
      <c r="G2" s="3">
        <v>210</v>
      </c>
      <c r="H2" s="3">
        <v>235</v>
      </c>
      <c r="I2" s="3">
        <v>260</v>
      </c>
      <c r="J2" s="3">
        <v>280</v>
      </c>
      <c r="K2" s="3">
        <v>305</v>
      </c>
      <c r="L2" s="3">
        <v>340</v>
      </c>
      <c r="M2" s="4">
        <f t="shared" ref="M2:M41" si="0">(L2/G2)^(1/5)-1</f>
        <v>0.10116379654429841</v>
      </c>
    </row>
    <row r="3" spans="1:13" ht="19.5" customHeight="1" x14ac:dyDescent="0.35">
      <c r="A3" s="5" t="s">
        <v>18</v>
      </c>
      <c r="B3" s="5" t="s">
        <v>19</v>
      </c>
      <c r="C3" s="5" t="s">
        <v>20</v>
      </c>
      <c r="D3" s="5" t="s">
        <v>21</v>
      </c>
      <c r="E3" s="5" t="s">
        <v>17</v>
      </c>
      <c r="F3" s="5" t="s">
        <v>22</v>
      </c>
      <c r="G3" s="6">
        <v>180</v>
      </c>
      <c r="H3" s="6">
        <v>172</v>
      </c>
      <c r="I3" s="6">
        <v>165</v>
      </c>
      <c r="J3" s="6">
        <v>158</v>
      </c>
      <c r="K3" s="6">
        <v>150</v>
      </c>
      <c r="L3" s="6">
        <v>142</v>
      </c>
      <c r="M3" s="7">
        <f t="shared" si="0"/>
        <v>-4.6318917654029179E-2</v>
      </c>
    </row>
    <row r="4" spans="1:13" ht="19.5" customHeight="1" x14ac:dyDescent="0.35">
      <c r="A4" s="2" t="s">
        <v>23</v>
      </c>
      <c r="B4" s="2" t="s">
        <v>24</v>
      </c>
      <c r="C4" s="2" t="s">
        <v>25</v>
      </c>
      <c r="D4" s="2" t="s">
        <v>26</v>
      </c>
      <c r="E4" s="2" t="s">
        <v>17</v>
      </c>
      <c r="F4" s="2" t="s">
        <v>17</v>
      </c>
      <c r="G4" s="3">
        <v>95</v>
      </c>
      <c r="H4" s="3">
        <v>110</v>
      </c>
      <c r="I4" s="3">
        <v>128</v>
      </c>
      <c r="J4" s="3">
        <v>141</v>
      </c>
      <c r="K4" s="3">
        <v>162</v>
      </c>
      <c r="L4" s="3">
        <v>185</v>
      </c>
      <c r="M4" s="4">
        <f t="shared" si="0"/>
        <v>0.14258791065592158</v>
      </c>
    </row>
    <row r="5" spans="1:13" ht="19.5" customHeight="1" x14ac:dyDescent="0.35">
      <c r="A5" s="5" t="s">
        <v>27</v>
      </c>
      <c r="B5" s="5" t="s">
        <v>28</v>
      </c>
      <c r="C5" s="5" t="s">
        <v>29</v>
      </c>
      <c r="D5" s="5" t="s">
        <v>30</v>
      </c>
      <c r="E5" s="5" t="s">
        <v>17</v>
      </c>
      <c r="F5" s="5" t="s">
        <v>22</v>
      </c>
      <c r="G5" s="6">
        <v>320</v>
      </c>
      <c r="H5" s="6">
        <v>345</v>
      </c>
      <c r="I5" s="6">
        <v>360</v>
      </c>
      <c r="J5" s="6">
        <v>390</v>
      </c>
      <c r="K5" s="6">
        <v>420</v>
      </c>
      <c r="L5" s="6">
        <v>455</v>
      </c>
      <c r="M5" s="7">
        <f t="shared" si="0"/>
        <v>7.2932211056065954E-2</v>
      </c>
    </row>
    <row r="6" spans="1:13" ht="19.5" customHeight="1" x14ac:dyDescent="0.35">
      <c r="A6" s="2" t="s">
        <v>31</v>
      </c>
      <c r="B6" s="2" t="s">
        <v>32</v>
      </c>
      <c r="C6" s="2" t="s">
        <v>20</v>
      </c>
      <c r="D6" s="2" t="s">
        <v>33</v>
      </c>
      <c r="E6" s="2" t="s">
        <v>17</v>
      </c>
      <c r="F6" s="2" t="s">
        <v>17</v>
      </c>
      <c r="G6" s="3">
        <v>250</v>
      </c>
      <c r="H6" s="3">
        <v>245</v>
      </c>
      <c r="I6" s="3">
        <v>255</v>
      </c>
      <c r="J6" s="3">
        <v>270</v>
      </c>
      <c r="K6" s="3">
        <v>285</v>
      </c>
      <c r="L6" s="3">
        <v>300</v>
      </c>
      <c r="M6" s="4">
        <f t="shared" si="0"/>
        <v>3.7137289336648172E-2</v>
      </c>
    </row>
    <row r="7" spans="1:13" ht="19.5" customHeight="1" x14ac:dyDescent="0.35">
      <c r="A7" s="5" t="s">
        <v>34</v>
      </c>
      <c r="B7" s="5" t="s">
        <v>35</v>
      </c>
      <c r="C7" s="5" t="s">
        <v>15</v>
      </c>
      <c r="D7" s="5" t="s">
        <v>21</v>
      </c>
      <c r="E7" s="5" t="s">
        <v>17</v>
      </c>
      <c r="F7" s="5" t="s">
        <v>22</v>
      </c>
      <c r="G7" s="6">
        <v>140</v>
      </c>
      <c r="H7" s="6">
        <v>155</v>
      </c>
      <c r="I7" s="6">
        <v>180</v>
      </c>
      <c r="J7" s="6">
        <v>195</v>
      </c>
      <c r="K7" s="6">
        <v>210</v>
      </c>
      <c r="L7" s="6">
        <v>240</v>
      </c>
      <c r="M7" s="7">
        <f t="shared" si="0"/>
        <v>0.11382417860287908</v>
      </c>
    </row>
    <row r="8" spans="1:13" ht="19.5" customHeight="1" x14ac:dyDescent="0.35">
      <c r="A8" s="2" t="s">
        <v>36</v>
      </c>
      <c r="B8" s="2" t="s">
        <v>37</v>
      </c>
      <c r="C8" s="2" t="s">
        <v>25</v>
      </c>
      <c r="D8" s="2" t="s">
        <v>16</v>
      </c>
      <c r="E8" s="2" t="s">
        <v>17</v>
      </c>
      <c r="F8" s="2" t="s">
        <v>17</v>
      </c>
      <c r="G8" s="3">
        <v>75</v>
      </c>
      <c r="H8" s="3">
        <v>82</v>
      </c>
      <c r="I8" s="3">
        <v>90</v>
      </c>
      <c r="J8" s="3">
        <v>101</v>
      </c>
      <c r="K8" s="3">
        <v>112</v>
      </c>
      <c r="L8" s="3">
        <v>128</v>
      </c>
      <c r="M8" s="4">
        <f t="shared" si="0"/>
        <v>0.11283234784082463</v>
      </c>
    </row>
    <row r="9" spans="1:13" ht="19.5" customHeight="1" x14ac:dyDescent="0.35">
      <c r="A9" s="5" t="s">
        <v>38</v>
      </c>
      <c r="B9" s="5" t="s">
        <v>39</v>
      </c>
      <c r="C9" s="5" t="s">
        <v>29</v>
      </c>
      <c r="D9" s="5" t="s">
        <v>26</v>
      </c>
      <c r="E9" s="5" t="s">
        <v>17</v>
      </c>
      <c r="F9" s="5" t="s">
        <v>17</v>
      </c>
      <c r="G9" s="6">
        <v>360</v>
      </c>
      <c r="H9" s="6">
        <v>398</v>
      </c>
      <c r="I9" s="6">
        <v>390</v>
      </c>
      <c r="J9" s="6">
        <v>405</v>
      </c>
      <c r="K9" s="6">
        <v>430</v>
      </c>
      <c r="L9" s="6">
        <v>448</v>
      </c>
      <c r="M9" s="7">
        <f t="shared" si="0"/>
        <v>4.4708438422444985E-2</v>
      </c>
    </row>
    <row r="10" spans="1:13" ht="19.5" customHeight="1" x14ac:dyDescent="0.35">
      <c r="A10" s="2" t="s">
        <v>40</v>
      </c>
      <c r="B10" s="2" t="s">
        <v>41</v>
      </c>
      <c r="C10" s="2" t="s">
        <v>20</v>
      </c>
      <c r="D10" s="2" t="s">
        <v>30</v>
      </c>
      <c r="E10" s="2" t="s">
        <v>17</v>
      </c>
      <c r="F10" s="2" t="s">
        <v>22</v>
      </c>
      <c r="G10" s="3">
        <v>265</v>
      </c>
      <c r="H10" s="3">
        <v>240</v>
      </c>
      <c r="I10" s="3">
        <v>220</v>
      </c>
      <c r="J10" s="3">
        <v>205</v>
      </c>
      <c r="K10" s="3">
        <v>190</v>
      </c>
      <c r="L10" s="3">
        <v>175</v>
      </c>
      <c r="M10" s="4">
        <f t="shared" si="0"/>
        <v>-7.9638517558145216E-2</v>
      </c>
    </row>
    <row r="11" spans="1:13" ht="19.5" customHeight="1" x14ac:dyDescent="0.35">
      <c r="A11" s="5" t="s">
        <v>42</v>
      </c>
      <c r="B11" s="5" t="s">
        <v>43</v>
      </c>
      <c r="C11" s="5" t="s">
        <v>44</v>
      </c>
      <c r="D11" s="5" t="s">
        <v>21</v>
      </c>
      <c r="E11" s="5" t="s">
        <v>17</v>
      </c>
      <c r="F11" s="5" t="s">
        <v>17</v>
      </c>
      <c r="G11" s="6">
        <v>30</v>
      </c>
      <c r="H11" s="6">
        <v>58</v>
      </c>
      <c r="I11" s="6">
        <v>120</v>
      </c>
      <c r="J11" s="6">
        <v>260</v>
      </c>
      <c r="K11" s="6">
        <v>520</v>
      </c>
      <c r="L11" s="6">
        <v>980</v>
      </c>
      <c r="M11" s="7">
        <f t="shared" si="0"/>
        <v>1.0082647444824535</v>
      </c>
    </row>
    <row r="12" spans="1:13" ht="19.5" customHeight="1" x14ac:dyDescent="0.35">
      <c r="A12" s="2" t="s">
        <v>45</v>
      </c>
      <c r="B12" s="2" t="s">
        <v>46</v>
      </c>
      <c r="C12" s="2" t="s">
        <v>15</v>
      </c>
      <c r="D12" s="2" t="s">
        <v>33</v>
      </c>
      <c r="E12" s="2" t="s">
        <v>17</v>
      </c>
      <c r="F12" s="2" t="s">
        <v>17</v>
      </c>
      <c r="G12" s="3">
        <v>360</v>
      </c>
      <c r="H12" s="3">
        <v>375</v>
      </c>
      <c r="I12" s="3">
        <v>392</v>
      </c>
      <c r="J12" s="3">
        <v>410</v>
      </c>
      <c r="K12" s="3">
        <v>445</v>
      </c>
      <c r="L12" s="3">
        <v>470</v>
      </c>
      <c r="M12" s="4">
        <f t="shared" si="0"/>
        <v>5.4773163227226584E-2</v>
      </c>
    </row>
    <row r="13" spans="1:13" ht="19.5" customHeight="1" x14ac:dyDescent="0.35">
      <c r="A13" s="5" t="s">
        <v>47</v>
      </c>
      <c r="B13" s="5" t="s">
        <v>48</v>
      </c>
      <c r="C13" s="5" t="s">
        <v>20</v>
      </c>
      <c r="D13" s="5" t="s">
        <v>16</v>
      </c>
      <c r="E13" s="5" t="s">
        <v>17</v>
      </c>
      <c r="F13" s="5" t="s">
        <v>22</v>
      </c>
      <c r="G13" s="6">
        <v>205</v>
      </c>
      <c r="H13" s="6">
        <v>212</v>
      </c>
      <c r="I13" s="6">
        <v>218</v>
      </c>
      <c r="J13" s="6">
        <v>225</v>
      </c>
      <c r="K13" s="6">
        <v>230</v>
      </c>
      <c r="L13" s="6">
        <v>236</v>
      </c>
      <c r="M13" s="7">
        <f t="shared" si="0"/>
        <v>2.856473075285848E-2</v>
      </c>
    </row>
    <row r="14" spans="1:13" ht="19.5" customHeight="1" x14ac:dyDescent="0.35">
      <c r="A14" s="2" t="s">
        <v>49</v>
      </c>
      <c r="B14" s="2" t="s">
        <v>50</v>
      </c>
      <c r="C14" s="2" t="s">
        <v>29</v>
      </c>
      <c r="D14" s="2" t="s">
        <v>26</v>
      </c>
      <c r="E14" s="2" t="s">
        <v>17</v>
      </c>
      <c r="F14" s="2" t="s">
        <v>17</v>
      </c>
      <c r="G14" s="3">
        <v>470</v>
      </c>
      <c r="H14" s="3">
        <v>510</v>
      </c>
      <c r="I14" s="3">
        <v>535</v>
      </c>
      <c r="J14" s="3">
        <v>565</v>
      </c>
      <c r="K14" s="3">
        <v>600</v>
      </c>
      <c r="L14" s="3">
        <v>640</v>
      </c>
      <c r="M14" s="4">
        <f t="shared" si="0"/>
        <v>6.3693298769017082E-2</v>
      </c>
    </row>
    <row r="15" spans="1:13" ht="19.5" customHeight="1" x14ac:dyDescent="0.35">
      <c r="A15" s="5" t="s">
        <v>51</v>
      </c>
      <c r="B15" s="5" t="s">
        <v>52</v>
      </c>
      <c r="C15" s="5" t="s">
        <v>44</v>
      </c>
      <c r="D15" s="5" t="s">
        <v>30</v>
      </c>
      <c r="E15" s="5" t="s">
        <v>17</v>
      </c>
      <c r="F15" s="5" t="s">
        <v>17</v>
      </c>
      <c r="G15" s="6">
        <v>22</v>
      </c>
      <c r="H15" s="6">
        <v>48</v>
      </c>
      <c r="I15" s="6">
        <v>110</v>
      </c>
      <c r="J15" s="6">
        <v>245</v>
      </c>
      <c r="K15" s="6">
        <v>540</v>
      </c>
      <c r="L15" s="6">
        <v>1180</v>
      </c>
      <c r="M15" s="7">
        <f t="shared" si="0"/>
        <v>1.2176441812565364</v>
      </c>
    </row>
    <row r="16" spans="1:13" ht="19.5" customHeight="1" x14ac:dyDescent="0.35">
      <c r="A16" s="2" t="s">
        <v>53</v>
      </c>
      <c r="B16" s="2" t="s">
        <v>54</v>
      </c>
      <c r="C16" s="2" t="s">
        <v>25</v>
      </c>
      <c r="D16" s="2" t="s">
        <v>21</v>
      </c>
      <c r="E16" s="2" t="s">
        <v>17</v>
      </c>
      <c r="F16" s="2" t="s">
        <v>22</v>
      </c>
      <c r="G16" s="3">
        <v>125</v>
      </c>
      <c r="H16" s="3">
        <v>118</v>
      </c>
      <c r="I16" s="3">
        <v>112</v>
      </c>
      <c r="J16" s="3">
        <v>108</v>
      </c>
      <c r="K16" s="3">
        <v>102</v>
      </c>
      <c r="L16" s="3">
        <v>98</v>
      </c>
      <c r="M16" s="4">
        <f t="shared" si="0"/>
        <v>-4.7503885949247371E-2</v>
      </c>
    </row>
    <row r="17" spans="1:13" ht="19.5" customHeight="1" x14ac:dyDescent="0.35">
      <c r="A17" s="5" t="s">
        <v>55</v>
      </c>
      <c r="B17" s="5" t="s">
        <v>56</v>
      </c>
      <c r="C17" s="5" t="s">
        <v>20</v>
      </c>
      <c r="D17" s="5" t="s">
        <v>33</v>
      </c>
      <c r="E17" s="5" t="s">
        <v>17</v>
      </c>
      <c r="F17" s="5" t="s">
        <v>17</v>
      </c>
      <c r="G17" s="6">
        <v>290</v>
      </c>
      <c r="H17" s="6">
        <v>315</v>
      </c>
      <c r="I17" s="6">
        <v>330</v>
      </c>
      <c r="J17" s="6">
        <v>350</v>
      </c>
      <c r="K17" s="6">
        <v>375</v>
      </c>
      <c r="L17" s="6">
        <v>405</v>
      </c>
      <c r="M17" s="7">
        <f t="shared" si="0"/>
        <v>6.9082954178721234E-2</v>
      </c>
    </row>
    <row r="18" spans="1:13" ht="19.5" customHeight="1" x14ac:dyDescent="0.35">
      <c r="A18" s="2" t="s">
        <v>57</v>
      </c>
      <c r="B18" s="2" t="s">
        <v>58</v>
      </c>
      <c r="C18" s="2" t="s">
        <v>15</v>
      </c>
      <c r="D18" s="2" t="s">
        <v>16</v>
      </c>
      <c r="E18" s="2" t="s">
        <v>17</v>
      </c>
      <c r="F18" s="2" t="s">
        <v>22</v>
      </c>
      <c r="G18" s="3">
        <v>520</v>
      </c>
      <c r="H18" s="3">
        <v>500</v>
      </c>
      <c r="I18" s="3">
        <v>475</v>
      </c>
      <c r="J18" s="3">
        <v>460</v>
      </c>
      <c r="K18" s="3">
        <v>445</v>
      </c>
      <c r="L18" s="3">
        <v>430</v>
      </c>
      <c r="M18" s="4">
        <f t="shared" si="0"/>
        <v>-3.7295454485075763E-2</v>
      </c>
    </row>
    <row r="19" spans="1:13" ht="19.5" customHeight="1" x14ac:dyDescent="0.35">
      <c r="A19" s="5" t="s">
        <v>59</v>
      </c>
      <c r="B19" s="5" t="s">
        <v>60</v>
      </c>
      <c r="C19" s="5" t="s">
        <v>20</v>
      </c>
      <c r="D19" s="5" t="s">
        <v>26</v>
      </c>
      <c r="E19" s="5" t="s">
        <v>17</v>
      </c>
      <c r="F19" s="5" t="s">
        <v>17</v>
      </c>
      <c r="G19" s="6">
        <v>155</v>
      </c>
      <c r="H19" s="6">
        <v>175</v>
      </c>
      <c r="I19" s="6">
        <v>190</v>
      </c>
      <c r="J19" s="6">
        <v>210</v>
      </c>
      <c r="K19" s="6">
        <v>235</v>
      </c>
      <c r="L19" s="6">
        <v>260</v>
      </c>
      <c r="M19" s="7">
        <f t="shared" si="0"/>
        <v>0.10899178727659797</v>
      </c>
    </row>
    <row r="20" spans="1:13" ht="19.5" customHeight="1" x14ac:dyDescent="0.35">
      <c r="A20" s="2" t="s">
        <v>61</v>
      </c>
      <c r="B20" s="2" t="s">
        <v>62</v>
      </c>
      <c r="C20" s="2" t="s">
        <v>44</v>
      </c>
      <c r="D20" s="2" t="s">
        <v>30</v>
      </c>
      <c r="E20" s="2" t="s">
        <v>17</v>
      </c>
      <c r="F20" s="2" t="s">
        <v>17</v>
      </c>
      <c r="G20" s="3">
        <v>18</v>
      </c>
      <c r="H20" s="3">
        <v>42</v>
      </c>
      <c r="I20" s="3">
        <v>105</v>
      </c>
      <c r="J20" s="3">
        <v>270</v>
      </c>
      <c r="K20" s="3">
        <v>690</v>
      </c>
      <c r="L20" s="3">
        <v>1450</v>
      </c>
      <c r="M20" s="4">
        <f t="shared" si="0"/>
        <v>1.4055760952181391</v>
      </c>
    </row>
    <row r="21" spans="1:13" ht="19.5" customHeight="1" x14ac:dyDescent="0.35">
      <c r="A21" s="5" t="s">
        <v>63</v>
      </c>
      <c r="B21" s="5" t="s">
        <v>64</v>
      </c>
      <c r="C21" s="5" t="s">
        <v>29</v>
      </c>
      <c r="D21" s="5" t="s">
        <v>21</v>
      </c>
      <c r="E21" s="5" t="s">
        <v>17</v>
      </c>
      <c r="F21" s="5" t="s">
        <v>22</v>
      </c>
      <c r="G21" s="6">
        <v>385</v>
      </c>
      <c r="H21" s="6">
        <v>400</v>
      </c>
      <c r="I21" s="6">
        <v>418</v>
      </c>
      <c r="J21" s="6">
        <v>430</v>
      </c>
      <c r="K21" s="6">
        <v>452</v>
      </c>
      <c r="L21" s="6">
        <v>475</v>
      </c>
      <c r="M21" s="7">
        <f t="shared" si="0"/>
        <v>4.2909385938183275E-2</v>
      </c>
    </row>
    <row r="22" spans="1:13" ht="19.5" customHeight="1" x14ac:dyDescent="0.35">
      <c r="A22" s="2" t="s">
        <v>65</v>
      </c>
      <c r="B22" s="2" t="s">
        <v>66</v>
      </c>
      <c r="C22" s="2" t="s">
        <v>15</v>
      </c>
      <c r="D22" s="2" t="s">
        <v>33</v>
      </c>
      <c r="E22" s="2" t="s">
        <v>17</v>
      </c>
      <c r="F22" s="2" t="s">
        <v>17</v>
      </c>
      <c r="G22" s="3">
        <v>610</v>
      </c>
      <c r="H22" s="3">
        <v>640</v>
      </c>
      <c r="I22" s="3">
        <v>675</v>
      </c>
      <c r="J22" s="3">
        <v>710</v>
      </c>
      <c r="K22" s="3">
        <v>760</v>
      </c>
      <c r="L22" s="3">
        <v>820</v>
      </c>
      <c r="M22" s="4">
        <f t="shared" si="0"/>
        <v>6.0954608193515281E-2</v>
      </c>
    </row>
    <row r="23" spans="1:13" ht="19.5" customHeight="1" x14ac:dyDescent="0.35">
      <c r="A23" s="5" t="s">
        <v>67</v>
      </c>
      <c r="B23" s="5" t="s">
        <v>68</v>
      </c>
      <c r="C23" s="5" t="s">
        <v>20</v>
      </c>
      <c r="D23" s="5" t="s">
        <v>16</v>
      </c>
      <c r="E23" s="5" t="s">
        <v>17</v>
      </c>
      <c r="F23" s="5" t="s">
        <v>22</v>
      </c>
      <c r="G23" s="6">
        <v>195</v>
      </c>
      <c r="H23" s="6">
        <v>188</v>
      </c>
      <c r="I23" s="6">
        <v>180</v>
      </c>
      <c r="J23" s="6">
        <v>172</v>
      </c>
      <c r="K23" s="6">
        <v>166</v>
      </c>
      <c r="L23" s="6">
        <v>160</v>
      </c>
      <c r="M23" s="7">
        <f t="shared" si="0"/>
        <v>-3.8792669424616677E-2</v>
      </c>
    </row>
    <row r="24" spans="1:13" ht="19.5" customHeight="1" x14ac:dyDescent="0.35">
      <c r="A24" s="2" t="s">
        <v>69</v>
      </c>
      <c r="B24" s="2" t="s">
        <v>70</v>
      </c>
      <c r="C24" s="2" t="s">
        <v>25</v>
      </c>
      <c r="D24" s="2" t="s">
        <v>26</v>
      </c>
      <c r="E24" s="2" t="s">
        <v>17</v>
      </c>
      <c r="F24" s="2" t="s">
        <v>17</v>
      </c>
      <c r="G24" s="3">
        <v>88</v>
      </c>
      <c r="H24" s="3">
        <v>105</v>
      </c>
      <c r="I24" s="3">
        <v>122</v>
      </c>
      <c r="J24" s="3">
        <v>140</v>
      </c>
      <c r="K24" s="3">
        <v>158</v>
      </c>
      <c r="L24" s="3">
        <v>180</v>
      </c>
      <c r="M24" s="4">
        <f t="shared" si="0"/>
        <v>0.15387288143462308</v>
      </c>
    </row>
    <row r="25" spans="1:13" ht="19.5" customHeight="1" x14ac:dyDescent="0.35">
      <c r="A25" s="5" t="s">
        <v>71</v>
      </c>
      <c r="B25" s="5" t="s">
        <v>72</v>
      </c>
      <c r="C25" s="5" t="s">
        <v>29</v>
      </c>
      <c r="D25" s="5" t="s">
        <v>30</v>
      </c>
      <c r="E25" s="5" t="s">
        <v>17</v>
      </c>
      <c r="F25" s="5" t="s">
        <v>17</v>
      </c>
      <c r="G25" s="6">
        <v>440</v>
      </c>
      <c r="H25" s="6">
        <v>465</v>
      </c>
      <c r="I25" s="6">
        <v>490</v>
      </c>
      <c r="J25" s="6">
        <v>520</v>
      </c>
      <c r="K25" s="6">
        <v>555</v>
      </c>
      <c r="L25" s="6">
        <v>590</v>
      </c>
      <c r="M25" s="7">
        <f t="shared" si="0"/>
        <v>6.042477819475911E-2</v>
      </c>
    </row>
    <row r="26" spans="1:13" ht="19.5" customHeight="1" x14ac:dyDescent="0.35">
      <c r="A26" s="2" t="s">
        <v>73</v>
      </c>
      <c r="B26" s="2" t="s">
        <v>74</v>
      </c>
      <c r="C26" s="2" t="s">
        <v>20</v>
      </c>
      <c r="D26" s="2" t="s">
        <v>21</v>
      </c>
      <c r="E26" s="2" t="s">
        <v>17</v>
      </c>
      <c r="F26" s="2" t="s">
        <v>22</v>
      </c>
      <c r="G26" s="3">
        <v>275</v>
      </c>
      <c r="H26" s="3">
        <v>295</v>
      </c>
      <c r="I26" s="3">
        <v>310</v>
      </c>
      <c r="J26" s="3">
        <v>328</v>
      </c>
      <c r="K26" s="3">
        <v>350</v>
      </c>
      <c r="L26" s="3">
        <v>372</v>
      </c>
      <c r="M26" s="4">
        <f t="shared" si="0"/>
        <v>6.2287446362500054E-2</v>
      </c>
    </row>
    <row r="27" spans="1:13" ht="19.5" customHeight="1" x14ac:dyDescent="0.35">
      <c r="A27" s="5" t="s">
        <v>75</v>
      </c>
      <c r="B27" s="5" t="s">
        <v>76</v>
      </c>
      <c r="C27" s="5" t="s">
        <v>15</v>
      </c>
      <c r="D27" s="5" t="s">
        <v>33</v>
      </c>
      <c r="E27" s="5" t="s">
        <v>17</v>
      </c>
      <c r="F27" s="5" t="s">
        <v>17</v>
      </c>
      <c r="G27" s="6">
        <v>340</v>
      </c>
      <c r="H27" s="6">
        <v>355</v>
      </c>
      <c r="I27" s="6">
        <v>380</v>
      </c>
      <c r="J27" s="6">
        <v>405</v>
      </c>
      <c r="K27" s="6">
        <v>435</v>
      </c>
      <c r="L27" s="6">
        <v>468</v>
      </c>
      <c r="M27" s="7">
        <f t="shared" si="0"/>
        <v>6.5990629813594603E-2</v>
      </c>
    </row>
    <row r="28" spans="1:13" ht="19.5" customHeight="1" x14ac:dyDescent="0.35">
      <c r="A28" s="2" t="s">
        <v>77</v>
      </c>
      <c r="B28" s="2" t="s">
        <v>78</v>
      </c>
      <c r="C28" s="2" t="s">
        <v>20</v>
      </c>
      <c r="D28" s="2" t="s">
        <v>16</v>
      </c>
      <c r="E28" s="2" t="s">
        <v>17</v>
      </c>
      <c r="F28" s="2" t="s">
        <v>22</v>
      </c>
      <c r="G28" s="3">
        <v>160</v>
      </c>
      <c r="H28" s="3">
        <v>154</v>
      </c>
      <c r="I28" s="3">
        <v>149</v>
      </c>
      <c r="J28" s="3">
        <v>143</v>
      </c>
      <c r="K28" s="3">
        <v>138</v>
      </c>
      <c r="L28" s="3">
        <v>132</v>
      </c>
      <c r="M28" s="4">
        <f t="shared" si="0"/>
        <v>-3.7743641153101026E-2</v>
      </c>
    </row>
    <row r="29" spans="1:13" ht="19.5" customHeight="1" x14ac:dyDescent="0.35">
      <c r="A29" s="5" t="s">
        <v>79</v>
      </c>
      <c r="B29" s="5" t="s">
        <v>80</v>
      </c>
      <c r="C29" s="5" t="s">
        <v>44</v>
      </c>
      <c r="D29" s="5" t="s">
        <v>26</v>
      </c>
      <c r="E29" s="5" t="s">
        <v>17</v>
      </c>
      <c r="F29" s="5" t="s">
        <v>17</v>
      </c>
      <c r="G29" s="6">
        <v>48</v>
      </c>
      <c r="H29" s="6">
        <v>76</v>
      </c>
      <c r="I29" s="6">
        <v>120</v>
      </c>
      <c r="J29" s="6">
        <v>190</v>
      </c>
      <c r="K29" s="6">
        <v>305</v>
      </c>
      <c r="L29" s="6">
        <v>510</v>
      </c>
      <c r="M29" s="7">
        <f t="shared" si="0"/>
        <v>0.6042268754060236</v>
      </c>
    </row>
    <row r="30" spans="1:13" ht="19.5" customHeight="1" x14ac:dyDescent="0.35">
      <c r="A30" s="2" t="s">
        <v>81</v>
      </c>
      <c r="B30" s="2" t="s">
        <v>82</v>
      </c>
      <c r="C30" s="2" t="s">
        <v>25</v>
      </c>
      <c r="D30" s="2" t="s">
        <v>30</v>
      </c>
      <c r="E30" s="2" t="s">
        <v>17</v>
      </c>
      <c r="F30" s="2" t="s">
        <v>22</v>
      </c>
      <c r="G30" s="3">
        <v>115</v>
      </c>
      <c r="H30" s="3">
        <v>128</v>
      </c>
      <c r="I30" s="3">
        <v>135</v>
      </c>
      <c r="J30" s="3">
        <v>145</v>
      </c>
      <c r="K30" s="3">
        <v>150</v>
      </c>
      <c r="L30" s="3">
        <v>158</v>
      </c>
      <c r="M30" s="4">
        <f t="shared" si="0"/>
        <v>6.55942032889687E-2</v>
      </c>
    </row>
    <row r="31" spans="1:13" ht="19.5" customHeight="1" x14ac:dyDescent="0.35">
      <c r="A31" s="5" t="s">
        <v>83</v>
      </c>
      <c r="B31" s="5" t="s">
        <v>84</v>
      </c>
      <c r="C31" s="5" t="s">
        <v>29</v>
      </c>
      <c r="D31" s="5" t="s">
        <v>21</v>
      </c>
      <c r="E31" s="5" t="s">
        <v>17</v>
      </c>
      <c r="F31" s="5" t="s">
        <v>17</v>
      </c>
      <c r="G31" s="6">
        <v>505</v>
      </c>
      <c r="H31" s="6">
        <v>540</v>
      </c>
      <c r="I31" s="6">
        <v>570</v>
      </c>
      <c r="J31" s="6">
        <v>615</v>
      </c>
      <c r="K31" s="6">
        <v>655</v>
      </c>
      <c r="L31" s="6">
        <v>705</v>
      </c>
      <c r="M31" s="7">
        <f t="shared" si="0"/>
        <v>6.900453541794338E-2</v>
      </c>
    </row>
    <row r="32" spans="1:13" ht="19.5" customHeight="1" x14ac:dyDescent="0.35">
      <c r="A32" s="2" t="s">
        <v>85</v>
      </c>
      <c r="B32" s="2" t="s">
        <v>86</v>
      </c>
      <c r="C32" s="2" t="s">
        <v>20</v>
      </c>
      <c r="D32" s="2" t="s">
        <v>33</v>
      </c>
      <c r="E32" s="2" t="s">
        <v>17</v>
      </c>
      <c r="F32" s="2" t="s">
        <v>17</v>
      </c>
      <c r="G32" s="3">
        <v>225</v>
      </c>
      <c r="H32" s="3">
        <v>250</v>
      </c>
      <c r="I32" s="3">
        <v>272</v>
      </c>
      <c r="J32" s="3">
        <v>295</v>
      </c>
      <c r="K32" s="3">
        <v>318</v>
      </c>
      <c r="L32" s="3">
        <v>345</v>
      </c>
      <c r="M32" s="4">
        <f t="shared" si="0"/>
        <v>8.9249364912943774E-2</v>
      </c>
    </row>
    <row r="33" spans="1:13" ht="19.5" customHeight="1" x14ac:dyDescent="0.35">
      <c r="A33" s="5" t="s">
        <v>87</v>
      </c>
      <c r="B33" s="5" t="s">
        <v>88</v>
      </c>
      <c r="C33" s="5" t="s">
        <v>44</v>
      </c>
      <c r="D33" s="5" t="s">
        <v>16</v>
      </c>
      <c r="E33" s="5" t="s">
        <v>17</v>
      </c>
      <c r="F33" s="5" t="s">
        <v>22</v>
      </c>
      <c r="G33" s="6">
        <v>65</v>
      </c>
      <c r="H33" s="6">
        <v>92</v>
      </c>
      <c r="I33" s="6">
        <v>135</v>
      </c>
      <c r="J33" s="6">
        <v>205</v>
      </c>
      <c r="K33" s="6">
        <v>310</v>
      </c>
      <c r="L33" s="6">
        <v>460</v>
      </c>
      <c r="M33" s="7">
        <f t="shared" si="0"/>
        <v>0.47900245542132969</v>
      </c>
    </row>
    <row r="34" spans="1:13" ht="19.5" customHeight="1" x14ac:dyDescent="0.35">
      <c r="A34" s="2" t="s">
        <v>89</v>
      </c>
      <c r="B34" s="2" t="s">
        <v>90</v>
      </c>
      <c r="C34" s="2" t="s">
        <v>15</v>
      </c>
      <c r="D34" s="2" t="s">
        <v>26</v>
      </c>
      <c r="E34" s="2" t="s">
        <v>17</v>
      </c>
      <c r="F34" s="2" t="s">
        <v>17</v>
      </c>
      <c r="G34" s="3">
        <v>395</v>
      </c>
      <c r="H34" s="3">
        <v>420</v>
      </c>
      <c r="I34" s="3">
        <v>445</v>
      </c>
      <c r="J34" s="3">
        <v>475</v>
      </c>
      <c r="K34" s="3">
        <v>505</v>
      </c>
      <c r="L34" s="3">
        <v>535</v>
      </c>
      <c r="M34" s="4">
        <f t="shared" si="0"/>
        <v>6.2554799407066985E-2</v>
      </c>
    </row>
    <row r="35" spans="1:13" ht="19.5" customHeight="1" x14ac:dyDescent="0.35">
      <c r="A35" s="5" t="s">
        <v>91</v>
      </c>
      <c r="B35" s="5" t="s">
        <v>92</v>
      </c>
      <c r="C35" s="5" t="s">
        <v>20</v>
      </c>
      <c r="D35" s="5" t="s">
        <v>33</v>
      </c>
      <c r="E35" s="5" t="s">
        <v>17</v>
      </c>
      <c r="F35" s="5" t="s">
        <v>22</v>
      </c>
      <c r="G35" s="6">
        <v>245</v>
      </c>
      <c r="H35" s="6">
        <v>232</v>
      </c>
      <c r="I35" s="6">
        <v>220</v>
      </c>
      <c r="J35" s="6">
        <v>210</v>
      </c>
      <c r="K35" s="6">
        <v>202</v>
      </c>
      <c r="L35" s="6">
        <v>194</v>
      </c>
      <c r="M35" s="7">
        <f t="shared" si="0"/>
        <v>-4.5607255414608971E-2</v>
      </c>
    </row>
    <row r="36" spans="1:13" ht="19.5" customHeight="1" x14ac:dyDescent="0.35">
      <c r="A36" s="2" t="s">
        <v>93</v>
      </c>
      <c r="B36" s="2" t="s">
        <v>94</v>
      </c>
      <c r="C36" s="2" t="s">
        <v>25</v>
      </c>
      <c r="D36" s="2" t="s">
        <v>21</v>
      </c>
      <c r="E36" s="2" t="s">
        <v>17</v>
      </c>
      <c r="F36" s="2" t="s">
        <v>17</v>
      </c>
      <c r="G36" s="3">
        <v>102</v>
      </c>
      <c r="H36" s="3">
        <v>115</v>
      </c>
      <c r="I36" s="3">
        <v>129</v>
      </c>
      <c r="J36" s="3">
        <v>144</v>
      </c>
      <c r="K36" s="3">
        <v>161</v>
      </c>
      <c r="L36" s="3">
        <v>178</v>
      </c>
      <c r="M36" s="4">
        <f t="shared" si="0"/>
        <v>0.11779964179892599</v>
      </c>
    </row>
    <row r="37" spans="1:13" ht="19.5" customHeight="1" x14ac:dyDescent="0.35">
      <c r="A37" s="5" t="s">
        <v>95</v>
      </c>
      <c r="B37" s="5" t="s">
        <v>96</v>
      </c>
      <c r="C37" s="5" t="s">
        <v>44</v>
      </c>
      <c r="D37" s="5" t="s">
        <v>33</v>
      </c>
      <c r="E37" s="5" t="s">
        <v>17</v>
      </c>
      <c r="F37" s="5" t="s">
        <v>17</v>
      </c>
      <c r="G37" s="6">
        <v>55</v>
      </c>
      <c r="H37" s="6">
        <v>90</v>
      </c>
      <c r="I37" s="6">
        <v>150</v>
      </c>
      <c r="J37" s="6">
        <v>240</v>
      </c>
      <c r="K37" s="6">
        <v>365</v>
      </c>
      <c r="L37" s="6">
        <v>560</v>
      </c>
      <c r="M37" s="7">
        <f t="shared" si="0"/>
        <v>0.59061497741214053</v>
      </c>
    </row>
    <row r="38" spans="1:13" ht="19.5" customHeight="1" x14ac:dyDescent="0.35">
      <c r="A38" s="2" t="s">
        <v>97</v>
      </c>
      <c r="B38" s="2" t="s">
        <v>98</v>
      </c>
      <c r="C38" s="2" t="s">
        <v>29</v>
      </c>
      <c r="D38" s="2" t="s">
        <v>16</v>
      </c>
      <c r="E38" s="2" t="s">
        <v>17</v>
      </c>
      <c r="F38" s="2" t="s">
        <v>22</v>
      </c>
      <c r="G38" s="3">
        <v>455</v>
      </c>
      <c r="H38" s="3">
        <v>470</v>
      </c>
      <c r="I38" s="3">
        <v>488</v>
      </c>
      <c r="J38" s="3">
        <v>505</v>
      </c>
      <c r="K38" s="3">
        <v>525</v>
      </c>
      <c r="L38" s="3">
        <v>548</v>
      </c>
      <c r="M38" s="4">
        <f t="shared" si="0"/>
        <v>3.789598604399913E-2</v>
      </c>
    </row>
    <row r="39" spans="1:13" ht="19.5" customHeight="1" x14ac:dyDescent="0.35">
      <c r="A39" s="5" t="s">
        <v>99</v>
      </c>
      <c r="B39" s="5" t="s">
        <v>100</v>
      </c>
      <c r="C39" s="5" t="s">
        <v>20</v>
      </c>
      <c r="D39" s="5" t="s">
        <v>26</v>
      </c>
      <c r="E39" s="5" t="s">
        <v>17</v>
      </c>
      <c r="F39" s="5" t="s">
        <v>17</v>
      </c>
      <c r="G39" s="6">
        <v>215</v>
      </c>
      <c r="H39" s="6">
        <v>225</v>
      </c>
      <c r="I39" s="6">
        <v>240</v>
      </c>
      <c r="J39" s="6">
        <v>258</v>
      </c>
      <c r="K39" s="6">
        <v>275</v>
      </c>
      <c r="L39" s="6">
        <v>292</v>
      </c>
      <c r="M39" s="7">
        <f t="shared" si="0"/>
        <v>6.3136131678833474E-2</v>
      </c>
    </row>
    <row r="40" spans="1:13" ht="19.5" customHeight="1" x14ac:dyDescent="0.35">
      <c r="A40" s="2" t="s">
        <v>101</v>
      </c>
      <c r="B40" s="2" t="s">
        <v>102</v>
      </c>
      <c r="C40" s="2" t="s">
        <v>15</v>
      </c>
      <c r="D40" s="2" t="s">
        <v>30</v>
      </c>
      <c r="E40" s="2" t="s">
        <v>17</v>
      </c>
      <c r="F40" s="2" t="s">
        <v>22</v>
      </c>
      <c r="G40" s="3">
        <v>575</v>
      </c>
      <c r="H40" s="3">
        <v>600</v>
      </c>
      <c r="I40" s="3">
        <v>630</v>
      </c>
      <c r="J40" s="3">
        <v>665</v>
      </c>
      <c r="K40" s="3">
        <v>700</v>
      </c>
      <c r="L40" s="3">
        <v>748</v>
      </c>
      <c r="M40" s="4">
        <f t="shared" si="0"/>
        <v>5.4014900836661273E-2</v>
      </c>
    </row>
    <row r="41" spans="1:13" ht="19.5" customHeight="1" x14ac:dyDescent="0.35">
      <c r="A41" s="5" t="s">
        <v>103</v>
      </c>
      <c r="B41" s="5" t="s">
        <v>104</v>
      </c>
      <c r="C41" s="5" t="s">
        <v>20</v>
      </c>
      <c r="D41" s="5" t="s">
        <v>21</v>
      </c>
      <c r="E41" s="5" t="s">
        <v>17</v>
      </c>
      <c r="F41" s="5" t="s">
        <v>17</v>
      </c>
      <c r="G41" s="6">
        <v>190</v>
      </c>
      <c r="H41" s="6">
        <v>205</v>
      </c>
      <c r="I41" s="6">
        <v>222</v>
      </c>
      <c r="J41" s="6">
        <v>240</v>
      </c>
      <c r="K41" s="6">
        <v>262</v>
      </c>
      <c r="L41" s="6">
        <v>286</v>
      </c>
      <c r="M41" s="7">
        <f t="shared" si="0"/>
        <v>8.5231738146507974E-2</v>
      </c>
    </row>
    <row r="42" spans="1:13" ht="15.75" customHeight="1" x14ac:dyDescent="0.35"/>
    <row r="43" spans="1:13" ht="15.75" customHeight="1" x14ac:dyDescent="0.35"/>
    <row r="44" spans="1:13" ht="15.75" customHeight="1" x14ac:dyDescent="0.35"/>
    <row r="45" spans="1:13" ht="15.75" customHeight="1" x14ac:dyDescent="0.35"/>
    <row r="46" spans="1:13" ht="15.75" customHeight="1" x14ac:dyDescent="0.35"/>
    <row r="47" spans="1:13" ht="15.75" customHeight="1" x14ac:dyDescent="0.35"/>
    <row r="48" spans="1:13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dataValidations count="1">
    <dataValidation type="custom" allowBlank="1" showDropDown="1" sqref="G2:M41" xr:uid="{00000000-0002-0000-0000-000000000000}">
      <formula1>AND(ISNUMBER(G2),(NOT(OR(NOT(ISERROR(DATEVALUE(G2))), AND(ISNUMBER(G2), LEFT(CELL("format", G2))="D")))))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8"/>
  <sheetViews>
    <sheetView tabSelected="1" topLeftCell="A6" zoomScale="77" workbookViewId="0">
      <selection activeCell="L17" sqref="L17"/>
    </sheetView>
  </sheetViews>
  <sheetFormatPr defaultColWidth="14.453125" defaultRowHeight="15" customHeight="1" x14ac:dyDescent="0.35"/>
  <cols>
    <col min="1" max="1" width="15" customWidth="1"/>
    <col min="2" max="7" width="15.26953125" customWidth="1"/>
  </cols>
  <sheetData>
    <row r="1" spans="1:7" x14ac:dyDescent="0.35">
      <c r="A1" s="26"/>
      <c r="B1" s="27" t="s">
        <v>114</v>
      </c>
      <c r="C1" s="26"/>
      <c r="D1" s="26"/>
      <c r="E1" s="26"/>
      <c r="F1" s="26"/>
      <c r="G1" s="26"/>
    </row>
    <row r="2" spans="1:7" x14ac:dyDescent="0.35">
      <c r="A2" s="27" t="s">
        <v>2</v>
      </c>
      <c r="B2" s="26" t="s">
        <v>6</v>
      </c>
      <c r="C2" s="26" t="s">
        <v>7</v>
      </c>
      <c r="D2" s="26" t="s">
        <v>8</v>
      </c>
      <c r="E2" s="26" t="s">
        <v>9</v>
      </c>
      <c r="F2" s="26" t="s">
        <v>10</v>
      </c>
      <c r="G2" s="26" t="s">
        <v>11</v>
      </c>
    </row>
    <row r="3" spans="1:7" x14ac:dyDescent="0.35">
      <c r="A3" s="26" t="s">
        <v>29</v>
      </c>
      <c r="B3" s="28">
        <v>2935</v>
      </c>
      <c r="C3" s="28">
        <v>3128</v>
      </c>
      <c r="D3" s="28">
        <v>3251</v>
      </c>
      <c r="E3" s="28">
        <v>3430</v>
      </c>
      <c r="F3" s="28">
        <v>3637</v>
      </c>
      <c r="G3" s="28">
        <v>3861</v>
      </c>
    </row>
    <row r="4" spans="1:7" x14ac:dyDescent="0.35">
      <c r="A4" s="26" t="s">
        <v>15</v>
      </c>
      <c r="B4" s="28">
        <v>3150</v>
      </c>
      <c r="C4" s="28">
        <v>3280</v>
      </c>
      <c r="D4" s="28">
        <v>3437</v>
      </c>
      <c r="E4" s="28">
        <v>3600</v>
      </c>
      <c r="F4" s="28">
        <v>3805</v>
      </c>
      <c r="G4" s="28">
        <v>4051</v>
      </c>
    </row>
    <row r="5" spans="1:7" x14ac:dyDescent="0.35">
      <c r="A5" s="26" t="s">
        <v>44</v>
      </c>
      <c r="B5" s="28">
        <v>238</v>
      </c>
      <c r="C5" s="28">
        <v>406</v>
      </c>
      <c r="D5" s="28">
        <v>740</v>
      </c>
      <c r="E5" s="28">
        <v>1410</v>
      </c>
      <c r="F5" s="28">
        <v>2730</v>
      </c>
      <c r="G5" s="28">
        <v>5140</v>
      </c>
    </row>
    <row r="6" spans="1:7" x14ac:dyDescent="0.35">
      <c r="A6" s="26" t="s">
        <v>20</v>
      </c>
      <c r="B6" s="28">
        <v>2850</v>
      </c>
      <c r="C6" s="28">
        <v>2908</v>
      </c>
      <c r="D6" s="28">
        <v>2971</v>
      </c>
      <c r="E6" s="28">
        <v>3064</v>
      </c>
      <c r="F6" s="28">
        <v>3176</v>
      </c>
      <c r="G6" s="28">
        <v>3299</v>
      </c>
    </row>
    <row r="7" spans="1:7" x14ac:dyDescent="0.35">
      <c r="A7" s="26" t="s">
        <v>25</v>
      </c>
      <c r="B7" s="28">
        <v>600</v>
      </c>
      <c r="C7" s="28">
        <v>658</v>
      </c>
      <c r="D7" s="28">
        <v>716</v>
      </c>
      <c r="E7" s="28">
        <v>779</v>
      </c>
      <c r="F7" s="28">
        <v>845</v>
      </c>
      <c r="G7" s="28">
        <v>927</v>
      </c>
    </row>
    <row r="8" spans="1:7" ht="15" customHeight="1" x14ac:dyDescent="0.35">
      <c r="A8" s="26" t="s">
        <v>105</v>
      </c>
      <c r="B8" s="28">
        <v>9773</v>
      </c>
      <c r="C8" s="28">
        <v>10380</v>
      </c>
      <c r="D8" s="28">
        <v>11115</v>
      </c>
      <c r="E8" s="28">
        <v>12283</v>
      </c>
      <c r="F8" s="28">
        <v>14193</v>
      </c>
      <c r="G8" s="28">
        <v>17278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T15"/>
  <sheetViews>
    <sheetView topLeftCell="L1" zoomScale="81" workbookViewId="0">
      <selection activeCell="B2" sqref="B2:M2"/>
    </sheetView>
  </sheetViews>
  <sheetFormatPr defaultColWidth="14.453125" defaultRowHeight="15" customHeight="1" x14ac:dyDescent="0.35"/>
  <cols>
    <col min="1" max="1" width="4.453125" customWidth="1"/>
    <col min="2" max="13" width="13.26953125" customWidth="1"/>
    <col min="14" max="15" width="5.08984375" customWidth="1"/>
    <col min="16" max="17" width="15.81640625" customWidth="1"/>
    <col min="18" max="18" width="4.453125" customWidth="1"/>
    <col min="19" max="19" width="25.81640625" customWidth="1"/>
    <col min="20" max="20" width="15.81640625" customWidth="1"/>
  </cols>
  <sheetData>
    <row r="2" spans="2:20" ht="30" customHeight="1" x14ac:dyDescent="0.35">
      <c r="B2" s="20" t="s">
        <v>106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P2" s="8" t="s">
        <v>107</v>
      </c>
      <c r="Q2" s="9" t="s">
        <v>108</v>
      </c>
      <c r="S2" s="8" t="s">
        <v>1</v>
      </c>
      <c r="T2" s="9" t="s">
        <v>11</v>
      </c>
    </row>
    <row r="3" spans="2:20" ht="18" customHeight="1" x14ac:dyDescent="0.35">
      <c r="B3" s="22" t="s">
        <v>109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P3" s="10">
        <v>2016</v>
      </c>
      <c r="Q3" s="11">
        <f>SUM('Account Sales Data'!G2:G41)</f>
        <v>9773</v>
      </c>
      <c r="S3" s="12" t="str">
        <f ca="1">IFERROR(__xludf.DUMMYFUNCTION("QUERY('Account Sales Data'!B2:L41, ""SELECT B, L ORDER BY L DESC LIMIT 10"", 0)"),"Cloudline Commerce")</f>
        <v>Cloudline Commerce</v>
      </c>
      <c r="T3" s="11">
        <f ca="1">IFERROR(__xludf.DUMMYFUNCTION("""COMPUTED_VALUE"""),1450)</f>
        <v>1450</v>
      </c>
    </row>
    <row r="4" spans="2:20" ht="18" customHeight="1" x14ac:dyDescent="0.35">
      <c r="B4" s="23" t="s">
        <v>110</v>
      </c>
      <c r="C4" s="24"/>
      <c r="D4" s="25"/>
      <c r="E4" s="23" t="s">
        <v>111</v>
      </c>
      <c r="F4" s="24"/>
      <c r="G4" s="25"/>
      <c r="H4" s="23" t="s">
        <v>112</v>
      </c>
      <c r="I4" s="24"/>
      <c r="J4" s="25"/>
      <c r="K4" s="23" t="s">
        <v>113</v>
      </c>
      <c r="L4" s="24"/>
      <c r="M4" s="25"/>
      <c r="P4" s="10">
        <v>2017</v>
      </c>
      <c r="Q4" s="11">
        <f>SUM('Account Sales Data'!H2:H41)</f>
        <v>10380</v>
      </c>
      <c r="S4" s="12" t="str">
        <f ca="1">IFERROR(__xludf.DUMMYFUNCTION("""COMPUTED_VALUE"""),"Juniper Digital")</f>
        <v>Juniper Digital</v>
      </c>
      <c r="T4" s="11">
        <f ca="1">IFERROR(__xludf.DUMMYFUNCTION("""COMPUTED_VALUE"""),1180)</f>
        <v>1180</v>
      </c>
    </row>
    <row r="5" spans="2:20" ht="28.5" customHeight="1" x14ac:dyDescent="0.35">
      <c r="B5" s="19">
        <f>SUM('Account Sales Data'!L2:L41)</f>
        <v>17278</v>
      </c>
      <c r="C5" s="17"/>
      <c r="D5" s="18"/>
      <c r="E5" s="16">
        <f>(SUM('Account Sales Data'!L2:L41)-SUM('Account Sales Data'!K2:K41))/SUM('Account Sales Data'!K2:K41)</f>
        <v>0.21736067075318818</v>
      </c>
      <c r="F5" s="17"/>
      <c r="G5" s="18"/>
      <c r="H5" s="19">
        <f>SUM('Account Sales Data'!G2:L41)</f>
        <v>75022</v>
      </c>
      <c r="I5" s="17"/>
      <c r="J5" s="18"/>
      <c r="K5" s="19">
        <f>COUNTA('Account Sales Data'!A2:A41)</f>
        <v>40</v>
      </c>
      <c r="L5" s="17"/>
      <c r="M5" s="18"/>
      <c r="P5" s="10">
        <v>2018</v>
      </c>
      <c r="Q5" s="11">
        <f>SUM('Account Sales Data'!I2:I41)</f>
        <v>11115</v>
      </c>
      <c r="S5" s="12" t="str">
        <f ca="1">IFERROR(__xludf.DUMMYFUNCTION("""COMPUTED_VALUE"""),"Orbit Commerce")</f>
        <v>Orbit Commerce</v>
      </c>
      <c r="T5" s="11">
        <f ca="1">IFERROR(__xludf.DUMMYFUNCTION("""COMPUTED_VALUE"""),980)</f>
        <v>980</v>
      </c>
    </row>
    <row r="6" spans="2:20" ht="12" customHeight="1" x14ac:dyDescent="0.35">
      <c r="P6" s="10">
        <v>2019</v>
      </c>
      <c r="Q6" s="11">
        <f>SUM('Account Sales Data'!J2:J41)</f>
        <v>12283</v>
      </c>
      <c r="S6" s="12" t="str">
        <f ca="1">IFERROR(__xludf.DUMMYFUNCTION("""COMPUTED_VALUE"""),"MetroWorks Supply")</f>
        <v>MetroWorks Supply</v>
      </c>
      <c r="T6" s="11">
        <f ca="1">IFERROR(__xludf.DUMMYFUNCTION("""COMPUTED_VALUE"""),820)</f>
        <v>820</v>
      </c>
    </row>
    <row r="7" spans="2:20" ht="14.5" x14ac:dyDescent="0.35">
      <c r="P7" s="10">
        <v>2020</v>
      </c>
      <c r="Q7" s="11">
        <f>SUM('Account Sales Data'!K2:K41)</f>
        <v>14193</v>
      </c>
      <c r="S7" s="12" t="str">
        <f ca="1">IFERROR(__xludf.DUMMYFUNCTION("""COMPUTED_VALUE"""),"Keystone Business Group")</f>
        <v>Keystone Business Group</v>
      </c>
      <c r="T7" s="11">
        <f ca="1">IFERROR(__xludf.DUMMYFUNCTION("""COMPUTED_VALUE"""),748)</f>
        <v>748</v>
      </c>
    </row>
    <row r="8" spans="2:20" ht="14.5" x14ac:dyDescent="0.35">
      <c r="P8" s="13">
        <v>2021</v>
      </c>
      <c r="Q8" s="14">
        <f>SUM('Account Sales Data'!L2:L41)</f>
        <v>17278</v>
      </c>
      <c r="S8" s="12" t="str">
        <f ca="1">IFERROR(__xludf.DUMMYFUNCTION("""COMPUTED_VALUE"""),"Ironwood Distribution")</f>
        <v>Ironwood Distribution</v>
      </c>
      <c r="T8" s="11">
        <f ca="1">IFERROR(__xludf.DUMMYFUNCTION("""COMPUTED_VALUE"""),705)</f>
        <v>705</v>
      </c>
    </row>
    <row r="9" spans="2:20" ht="14.5" x14ac:dyDescent="0.35">
      <c r="S9" s="12" t="str">
        <f ca="1">IFERROR(__xludf.DUMMYFUNCTION("""COMPUTED_VALUE"""),"Silverline Distribution")</f>
        <v>Silverline Distribution</v>
      </c>
      <c r="T9" s="11">
        <f ca="1">IFERROR(__xludf.DUMMYFUNCTION("""COMPUTED_VALUE"""),640)</f>
        <v>640</v>
      </c>
    </row>
    <row r="10" spans="2:20" ht="14.5" x14ac:dyDescent="0.35">
      <c r="P10" s="8" t="s">
        <v>2</v>
      </c>
      <c r="Q10" s="9" t="s">
        <v>11</v>
      </c>
      <c r="S10" s="12" t="str">
        <f ca="1">IFERROR(__xludf.DUMMYFUNCTION("""COMPUTED_VALUE"""),"Westbrook Distribution")</f>
        <v>Westbrook Distribution</v>
      </c>
      <c r="T10" s="11">
        <f ca="1">IFERROR(__xludf.DUMMYFUNCTION("""COMPUTED_VALUE"""),590)</f>
        <v>590</v>
      </c>
    </row>
    <row r="11" spans="2:20" ht="14.5" x14ac:dyDescent="0.35">
      <c r="P11" s="12" t="s">
        <v>29</v>
      </c>
      <c r="Q11" s="11">
        <f>SUMIF('Account Sales Data'!$C$2:$C$41, P11, 'Account Sales Data'!$L$2:$L$41)</f>
        <v>3861</v>
      </c>
      <c r="S11" s="12" t="str">
        <f ca="1">IFERROR(__xludf.DUMMYFUNCTION("""COMPUTED_VALUE"""),"Peakline Commerce")</f>
        <v>Peakline Commerce</v>
      </c>
      <c r="T11" s="11">
        <f ca="1">IFERROR(__xludf.DUMMYFUNCTION("""COMPUTED_VALUE"""),560)</f>
        <v>560</v>
      </c>
    </row>
    <row r="12" spans="2:20" ht="14.5" x14ac:dyDescent="0.35">
      <c r="P12" s="12" t="s">
        <v>15</v>
      </c>
      <c r="Q12" s="11">
        <f>SUMIF('Account Sales Data'!$C$2:$C$41, P12, 'Account Sales Data'!$L$2:$L$41)</f>
        <v>4051</v>
      </c>
      <c r="S12" s="15" t="str">
        <f ca="1">IFERROR(__xludf.DUMMYFUNCTION("""COMPUTED_VALUE"""),"Granite Bay Wholesale")</f>
        <v>Granite Bay Wholesale</v>
      </c>
      <c r="T12" s="14">
        <f ca="1">IFERROR(__xludf.DUMMYFUNCTION("""COMPUTED_VALUE"""),548)</f>
        <v>548</v>
      </c>
    </row>
    <row r="13" spans="2:20" ht="14.5" x14ac:dyDescent="0.35">
      <c r="P13" s="12" t="s">
        <v>44</v>
      </c>
      <c r="Q13" s="11">
        <f>SUMIF('Account Sales Data'!$C$2:$C$41, P13, 'Account Sales Data'!$L$2:$L$41)</f>
        <v>5140</v>
      </c>
    </row>
    <row r="14" spans="2:20" ht="14.5" x14ac:dyDescent="0.35">
      <c r="P14" s="12" t="s">
        <v>20</v>
      </c>
      <c r="Q14" s="11">
        <f>SUMIF('Account Sales Data'!$C$2:$C$41, P14, 'Account Sales Data'!$L$2:$L$41)</f>
        <v>3299</v>
      </c>
    </row>
    <row r="15" spans="2:20" ht="14.5" x14ac:dyDescent="0.35">
      <c r="P15" s="15" t="s">
        <v>25</v>
      </c>
      <c r="Q15" s="14">
        <f>SUMIF('Account Sales Data'!$C$2:$C$41, P15, 'Account Sales Data'!$L$2:$L$41)</f>
        <v>927</v>
      </c>
    </row>
  </sheetData>
  <mergeCells count="10">
    <mergeCell ref="E5:G5"/>
    <mergeCell ref="H5:J5"/>
    <mergeCell ref="B2:M2"/>
    <mergeCell ref="B3:M3"/>
    <mergeCell ref="B4:D4"/>
    <mergeCell ref="E4:G4"/>
    <mergeCell ref="H4:J4"/>
    <mergeCell ref="K4:M4"/>
    <mergeCell ref="B5:D5"/>
    <mergeCell ref="K5:M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Account Sales Data</vt:lpstr>
      <vt:lpstr>Pivot Table 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 kumar</cp:lastModifiedBy>
  <dcterms:modified xsi:type="dcterms:W3CDTF">2026-10-21T08:55:57Z</dcterms:modified>
</cp:coreProperties>
</file>