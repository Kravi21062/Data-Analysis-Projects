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7b8702b7617cd71/Desktop/excel_simulation/"/>
    </mc:Choice>
  </mc:AlternateContent>
  <xr:revisionPtr revIDLastSave="33" documentId="11_B977B3FEC6559D1A28C1C0EA984AE2085D7C4FB1" xr6:coauthVersionLast="47" xr6:coauthVersionMax="47" xr10:uidLastSave="{4A185BE0-753B-4788-882F-01DE0F34062B}"/>
  <bookViews>
    <workbookView xWindow="-110" yWindow="-110" windowWidth="19420" windowHeight="11500" xr2:uid="{00000000-000D-0000-FFFF-FFFF00000000}"/>
  </bookViews>
  <sheets>
    <sheet name="Formula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Forage</author>
  </authors>
  <commentList>
    <comment ref="M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SUM to add the 2016 through 2021 Unit Sales values for each account.</t>
        </r>
      </text>
    </comment>
    <comment ref="N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AVERAGE to calculate the average of the 2016 through 2021 Unit Sales values.</t>
        </r>
      </text>
    </comment>
    <comment ref="O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Use MAX to return the highest annual Unit Sales value from 2016 through 2021.</t>
        </r>
      </text>
    </comment>
    <comment ref="P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Use MIN to return the lowest annual Unit Sales value from 2016 through 2021.</t>
        </r>
      </text>
    </comment>
    <comment ref="Q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Use IF to compare 2021 Unit Sales with the Sales Level Threshold in $U$2. Return "High" when the threshold is met or exceeded; otherwise return "Standard".</t>
        </r>
      </text>
    </comment>
    <comment ref="R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Use IFERROR to calculate percentage change from 2016 to 2021: (2021 Unit Sales - 2016 Unit Sales) / 2016 Unit Sales. Return "Check data" if the calculation produces an error.</t>
        </r>
      </text>
    </comment>
    <comment ref="U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Use COUNTIF to count the cells containing "Yes" in the Product 2 column.</t>
        </r>
      </text>
    </comment>
    <comment ref="U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Use SUMIF to total 2021 Unit Sales for accounts where Account Type is "Retail".</t>
        </r>
      </text>
    </comment>
  </commentList>
</comments>
</file>

<file path=xl/sharedStrings.xml><?xml version="1.0" encoding="utf-8"?>
<sst xmlns="http://schemas.openxmlformats.org/spreadsheetml/2006/main" count="269" uniqueCount="120">
  <si>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</si>
  <si>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</si>
  <si>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</si>
  <si>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</si>
  <si>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</si>
  <si>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</si>
  <si>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</si>
  <si>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</si>
  <si>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</si>
  <si>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</si>
  <si>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</si>
  <si>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</si>
  <si>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Total Unit Sales</t>
  </si>
  <si>
    <t>Average Annual Unit Sales</t>
  </si>
  <si>
    <t>Highest Annual Unit Sales</t>
  </si>
  <si>
    <t>Lowest Annual Unit Sales</t>
  </si>
  <si>
    <t>Sales Level</t>
  </si>
  <si>
    <t>Sales Change</t>
  </si>
  <si>
    <t>Formula Settings &amp; Summary</t>
  </si>
  <si>
    <t>AC-1001</t>
  </si>
  <si>
    <t>Northstar Office Supply</t>
  </si>
  <si>
    <t>Enterprise</t>
  </si>
  <si>
    <t>North</t>
  </si>
  <si>
    <t>Yes</t>
  </si>
  <si>
    <t>Sales Level Threshold</t>
  </si>
  <si>
    <t>AC-1002</t>
  </si>
  <si>
    <t>Cedar Lane Market</t>
  </si>
  <si>
    <t>Retail</t>
  </si>
  <si>
    <t>West</t>
  </si>
  <si>
    <t>No</t>
  </si>
  <si>
    <t>Apply threshold to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</si>
  <si>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</si>
  <si>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</si>
  <si>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</si>
  <si>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</si>
  <si>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</si>
  <si>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</si>
  <si>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</si>
  <si>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</si>
  <si>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Summary Calculations</t>
  </si>
  <si>
    <t>AC-1005</t>
  </si>
  <si>
    <t>Summit Ridge Retail</t>
  </si>
  <si>
    <t>Central</t>
  </si>
  <si>
    <t>Accounts with Product 2</t>
  </si>
  <si>
    <t>AC-1006</t>
  </si>
  <si>
    <t>BluePeak Solutions</t>
  </si>
  <si>
    <t>Retail 2021 Unit Sales</t>
  </si>
  <si>
    <t>AC-1007</t>
  </si>
  <si>
    <t>Maple Street Co.</t>
  </si>
  <si>
    <t>AC-1008</t>
  </si>
  <si>
    <t>Evergreen Wholesale</t>
  </si>
  <si>
    <t>Sales Change guidance</t>
  </si>
  <si>
    <t>Calculate % change from 2016 to 2021. Return "Check data" if an error occurs.</t>
  </si>
  <si>
    <t>AC-1009</t>
  </si>
  <si>
    <t>Golden Field Retail</t>
  </si>
  <si>
    <t>AC-1010</t>
  </si>
  <si>
    <t>Orbit Commerce</t>
  </si>
  <si>
    <t>Online</t>
  </si>
  <si>
    <t>Note</t>
  </si>
  <si>
    <t>Blue-shaded cells are intentionally blank for your formulas.</t>
  </si>
  <si>
    <t>AC-1011</t>
  </si>
  <si>
    <t>Pioneer Business Group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</si>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</sst>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  <font>
      <sz val="10"/>
      <color rgb="FF000000"/>
      <name val="Aptos"/>
    </font>
    <font>
      <b/>
      <sz val="11"/>
      <color rgb="FFFFFFFF"/>
      <name val="Aptos"/>
    </font>
    <font>
      <b/>
      <sz val="10"/>
      <color rgb="FF666666"/>
      <name val="Aptos"/>
    </font>
    <font>
      <b/>
      <sz val="10"/>
      <color rgb="FF0000FF"/>
      <name val="Aptos"/>
    </font>
    <font>
      <sz val="9"/>
      <color rgb="FF666666"/>
      <name val="Aptos"/>
    </font>
    <font>
      <sz val="9"/>
      <color rgb="FF666666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244062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7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2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/>
    </xf>
    <xf numFmtId="0" fontId="0" fillId="6" borderId="0" xfId="0" applyFill="1"/>
    <xf numFmtId="0" fontId="6" fillId="8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/>
    </xf>
    <xf numFmtId="0" fontId="6" fillId="9" borderId="0" xfId="0" applyFont="1" applyFill="1" applyAlignment="1">
      <alignment vertical="center" wrapText="1"/>
    </xf>
    <xf numFmtId="0" fontId="8" fillId="9" borderId="0" xfId="0" applyFont="1" applyFill="1" applyAlignment="1">
      <alignment vertical="top" wrapText="1"/>
    </xf>
    <xf numFmtId="0" fontId="6" fillId="0" borderId="0" xfId="0" applyFont="1"/>
    <xf numFmtId="0" fontId="5" fillId="6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showGridLines="0" tabSelected="1" topLeftCell="L1" workbookViewId="0">
      <pane ySplit="1" topLeftCell="A10" activePane="bottomLeft" state="frozen"/>
      <selection pane="bottomLeft" activeCell="X11" sqref="X11"/>
    </sheetView>
  </sheetViews>
  <sheetFormatPr defaultRowHeight="14.5" x14ac:dyDescent="0.35"/>
  <cols>
    <col min="1" max="1" width="13" customWidth="1"/>
    <col min="2" max="2" width="28" customWidth="1"/>
    <col min="3" max="3" width="18" customWidth="1"/>
    <col min="4" max="4" width="12" customWidth="1"/>
    <col min="5" max="6" width="11" customWidth="1"/>
    <col min="7" max="12" width="15" customWidth="1"/>
    <col min="13" max="13" width="17" customWidth="1"/>
    <col min="14" max="16" width="20" customWidth="1"/>
    <col min="17" max="17" width="14" customWidth="1"/>
    <col min="18" max="18" width="15" customWidth="1"/>
    <col min="19" max="19" width="3" customWidth="1"/>
    <col min="20" max="20" width="24" customWidth="1"/>
    <col min="21" max="21" width="32" customWidth="1"/>
  </cols>
  <sheetData>
    <row r="1" spans="1:21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0" t="s">
        <v>18</v>
      </c>
      <c r="U1" s="21"/>
    </row>
    <row r="2" spans="1:21" ht="20" customHeight="1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23</v>
      </c>
      <c r="G2" s="3">
        <v>210</v>
      </c>
      <c r="H2" s="3">
        <v>235</v>
      </c>
      <c r="I2" s="3">
        <v>260</v>
      </c>
      <c r="J2" s="3">
        <v>280</v>
      </c>
      <c r="K2" s="3">
        <v>305</v>
      </c>
      <c r="L2" s="3">
        <v>340</v>
      </c>
      <c r="M2" s="4">
        <f>SUM(G2:L2)</f>
        <v>1630</v>
      </c>
      <c r="N2" s="5">
        <f>AVERAGE(G2:L2)</f>
        <v>271.66666666666669</v>
      </c>
      <c r="O2" s="4">
        <f>MAX(G2:L2)</f>
        <v>340</v>
      </c>
      <c r="P2" s="4">
        <f>MIN(G2:L2)</f>
        <v>210</v>
      </c>
      <c r="Q2" s="6" t="str">
        <f>IF(L2&gt;=500,"High","Standard")</f>
        <v>Standard</v>
      </c>
      <c r="R2" s="7">
        <f>IFERROR((L2-G2)/G2,"Check data")</f>
        <v>0.61904761904761907</v>
      </c>
      <c r="T2" s="8" t="s">
        <v>24</v>
      </c>
      <c r="U2" s="9">
        <v>500</v>
      </c>
    </row>
    <row r="3" spans="1:21" ht="20" customHeight="1" x14ac:dyDescent="0.35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23</v>
      </c>
      <c r="F3" s="10" t="s">
        <v>29</v>
      </c>
      <c r="G3" s="11">
        <v>180</v>
      </c>
      <c r="H3" s="11">
        <v>172</v>
      </c>
      <c r="I3" s="11">
        <v>165</v>
      </c>
      <c r="J3" s="11">
        <v>158</v>
      </c>
      <c r="K3" s="11">
        <v>150</v>
      </c>
      <c r="L3" s="11">
        <v>142</v>
      </c>
      <c r="M3" s="4">
        <f t="shared" ref="M3:M41" si="0">SUM(G3:L3)</f>
        <v>967</v>
      </c>
      <c r="N3" s="5">
        <f t="shared" ref="N3:N41" si="1">AVERAGE(G3:L3)</f>
        <v>161.16666666666666</v>
      </c>
      <c r="O3" s="4">
        <f t="shared" ref="O3:O41" si="2">MAX(G3:L3)</f>
        <v>180</v>
      </c>
      <c r="P3" s="4">
        <f t="shared" ref="P3:P41" si="3">MIN(G3:L3)</f>
        <v>142</v>
      </c>
      <c r="Q3" s="6" t="str">
        <f t="shared" ref="Q3:Q41" si="4">IF(L3&gt;=500,"High","Standard")</f>
        <v>Standard</v>
      </c>
      <c r="R3" s="7">
        <f t="shared" ref="R3:R41" si="5">IFERROR((L3-G3)/G3,"Check data")</f>
        <v>-0.21111111111111111</v>
      </c>
      <c r="T3" s="8" t="s">
        <v>30</v>
      </c>
      <c r="U3" s="12" t="s">
        <v>11</v>
      </c>
    </row>
    <row r="4" spans="1:21" ht="20" customHeight="1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23</v>
      </c>
      <c r="F4" s="2" t="s">
        <v>23</v>
      </c>
      <c r="G4" s="3">
        <v>95</v>
      </c>
      <c r="H4" s="3">
        <v>110</v>
      </c>
      <c r="I4" s="3">
        <v>128</v>
      </c>
      <c r="J4" s="3">
        <v>141</v>
      </c>
      <c r="K4" s="3">
        <v>162</v>
      </c>
      <c r="L4" s="3">
        <v>185</v>
      </c>
      <c r="M4" s="4">
        <f t="shared" si="0"/>
        <v>821</v>
      </c>
      <c r="N4" s="5">
        <f t="shared" si="1"/>
        <v>136.83333333333334</v>
      </c>
      <c r="O4" s="4">
        <f t="shared" si="2"/>
        <v>185</v>
      </c>
      <c r="P4" s="4">
        <f t="shared" si="3"/>
        <v>95</v>
      </c>
      <c r="Q4" s="6" t="str">
        <f t="shared" si="4"/>
        <v>Standard</v>
      </c>
      <c r="R4" s="7">
        <f t="shared" si="5"/>
        <v>0.94736842105263153</v>
      </c>
    </row>
    <row r="5" spans="1:21" ht="20" customHeight="1" x14ac:dyDescent="0.35">
      <c r="A5" s="10" t="s">
        <v>35</v>
      </c>
      <c r="B5" s="10" t="s">
        <v>36</v>
      </c>
      <c r="C5" s="10" t="s">
        <v>37</v>
      </c>
      <c r="D5" s="10" t="s">
        <v>38</v>
      </c>
      <c r="E5" s="10" t="s">
        <v>23</v>
      </c>
      <c r="F5" s="10" t="s">
        <v>29</v>
      </c>
      <c r="G5" s="11">
        <v>320</v>
      </c>
      <c r="H5" s="11">
        <v>345</v>
      </c>
      <c r="I5" s="11">
        <v>360</v>
      </c>
      <c r="J5" s="11">
        <v>390</v>
      </c>
      <c r="K5" s="11">
        <v>420</v>
      </c>
      <c r="L5" s="11">
        <v>455</v>
      </c>
      <c r="M5" s="4">
        <f t="shared" si="0"/>
        <v>2290</v>
      </c>
      <c r="N5" s="5">
        <f t="shared" si="1"/>
        <v>381.66666666666669</v>
      </c>
      <c r="O5" s="4">
        <f t="shared" si="2"/>
        <v>455</v>
      </c>
      <c r="P5" s="4">
        <f t="shared" si="3"/>
        <v>320</v>
      </c>
      <c r="Q5" s="6" t="str">
        <f t="shared" si="4"/>
        <v>Standard</v>
      </c>
      <c r="R5" s="7">
        <f t="shared" si="5"/>
        <v>0.421875</v>
      </c>
      <c r="T5" s="13" t="s">
        <v>39</v>
      </c>
      <c r="U5" s="14"/>
    </row>
    <row r="6" spans="1:21" ht="20" customHeight="1" x14ac:dyDescent="0.35">
      <c r="A6" s="2" t="s">
        <v>40</v>
      </c>
      <c r="B6" s="2" t="s">
        <v>41</v>
      </c>
      <c r="C6" s="2" t="s">
        <v>27</v>
      </c>
      <c r="D6" s="2" t="s">
        <v>42</v>
      </c>
      <c r="E6" s="2" t="s">
        <v>23</v>
      </c>
      <c r="F6" s="2" t="s">
        <v>23</v>
      </c>
      <c r="G6" s="3">
        <v>250</v>
      </c>
      <c r="H6" s="3">
        <v>245</v>
      </c>
      <c r="I6" s="3">
        <v>255</v>
      </c>
      <c r="J6" s="3">
        <v>270</v>
      </c>
      <c r="K6" s="3">
        <v>285</v>
      </c>
      <c r="L6" s="3">
        <v>300</v>
      </c>
      <c r="M6" s="4">
        <f t="shared" si="0"/>
        <v>1605</v>
      </c>
      <c r="N6" s="5">
        <f t="shared" si="1"/>
        <v>267.5</v>
      </c>
      <c r="O6" s="4">
        <f t="shared" si="2"/>
        <v>300</v>
      </c>
      <c r="P6" s="4">
        <f t="shared" si="3"/>
        <v>245</v>
      </c>
      <c r="Q6" s="6" t="str">
        <f t="shared" si="4"/>
        <v>Standard</v>
      </c>
      <c r="R6" s="7">
        <f t="shared" si="5"/>
        <v>0.2</v>
      </c>
      <c r="T6" s="15" t="s">
        <v>43</v>
      </c>
      <c r="U6" s="16">
        <f>COUNTIF(F2:F41,"Yes")</f>
        <v>24</v>
      </c>
    </row>
    <row r="7" spans="1:21" ht="20" customHeight="1" x14ac:dyDescent="0.35">
      <c r="A7" s="10" t="s">
        <v>44</v>
      </c>
      <c r="B7" s="10" t="s">
        <v>45</v>
      </c>
      <c r="C7" s="10" t="s">
        <v>21</v>
      </c>
      <c r="D7" s="10" t="s">
        <v>28</v>
      </c>
      <c r="E7" s="10" t="s">
        <v>23</v>
      </c>
      <c r="F7" s="10" t="s">
        <v>29</v>
      </c>
      <c r="G7" s="11">
        <v>140</v>
      </c>
      <c r="H7" s="11">
        <v>155</v>
      </c>
      <c r="I7" s="11">
        <v>180</v>
      </c>
      <c r="J7" s="11">
        <v>195</v>
      </c>
      <c r="K7" s="11">
        <v>210</v>
      </c>
      <c r="L7" s="11">
        <v>240</v>
      </c>
      <c r="M7" s="4">
        <f t="shared" si="0"/>
        <v>1120</v>
      </c>
      <c r="N7" s="5">
        <f t="shared" si="1"/>
        <v>186.66666666666666</v>
      </c>
      <c r="O7" s="4">
        <f t="shared" si="2"/>
        <v>240</v>
      </c>
      <c r="P7" s="4">
        <f t="shared" si="3"/>
        <v>140</v>
      </c>
      <c r="Q7" s="6" t="str">
        <f t="shared" si="4"/>
        <v>Standard</v>
      </c>
      <c r="R7" s="7">
        <f t="shared" si="5"/>
        <v>0.7142857142857143</v>
      </c>
      <c r="T7" s="15" t="s">
        <v>46</v>
      </c>
      <c r="U7" s="16">
        <f>SUMIF(C2:C41,"Retail",L2:L41)</f>
        <v>3299</v>
      </c>
    </row>
    <row r="8" spans="1:21" ht="20" customHeight="1" x14ac:dyDescent="0.35">
      <c r="A8" s="2" t="s">
        <v>47</v>
      </c>
      <c r="B8" s="2" t="s">
        <v>48</v>
      </c>
      <c r="C8" s="2" t="s">
        <v>33</v>
      </c>
      <c r="D8" s="2" t="s">
        <v>22</v>
      </c>
      <c r="E8" s="2" t="s">
        <v>23</v>
      </c>
      <c r="F8" s="2" t="s">
        <v>23</v>
      </c>
      <c r="G8" s="3">
        <v>75</v>
      </c>
      <c r="H8" s="3">
        <v>82</v>
      </c>
      <c r="I8" s="3">
        <v>90</v>
      </c>
      <c r="J8" s="3">
        <v>101</v>
      </c>
      <c r="K8" s="3">
        <v>112</v>
      </c>
      <c r="L8" s="3">
        <v>128</v>
      </c>
      <c r="M8" s="4">
        <f t="shared" si="0"/>
        <v>588</v>
      </c>
      <c r="N8" s="5">
        <f t="shared" si="1"/>
        <v>98</v>
      </c>
      <c r="O8" s="4">
        <f t="shared" si="2"/>
        <v>128</v>
      </c>
      <c r="P8" s="4">
        <f t="shared" si="3"/>
        <v>75</v>
      </c>
      <c r="Q8" s="6" t="str">
        <f t="shared" si="4"/>
        <v>Standard</v>
      </c>
      <c r="R8" s="7">
        <f t="shared" si="5"/>
        <v>0.70666666666666667</v>
      </c>
    </row>
    <row r="9" spans="1:21" ht="42" customHeight="1" x14ac:dyDescent="0.35">
      <c r="A9" s="10" t="s">
        <v>49</v>
      </c>
      <c r="B9" s="10" t="s">
        <v>50</v>
      </c>
      <c r="C9" s="10" t="s">
        <v>37</v>
      </c>
      <c r="D9" s="10" t="s">
        <v>34</v>
      </c>
      <c r="E9" s="10" t="s">
        <v>23</v>
      </c>
      <c r="F9" s="10" t="s">
        <v>23</v>
      </c>
      <c r="G9" s="11">
        <v>0</v>
      </c>
      <c r="H9" s="11">
        <v>398</v>
      </c>
      <c r="I9" s="11">
        <v>390</v>
      </c>
      <c r="J9" s="11">
        <v>405</v>
      </c>
      <c r="K9" s="11">
        <v>430</v>
      </c>
      <c r="L9" s="11">
        <v>448</v>
      </c>
      <c r="M9" s="4">
        <f t="shared" si="0"/>
        <v>2071</v>
      </c>
      <c r="N9" s="5">
        <f t="shared" si="1"/>
        <v>345.16666666666669</v>
      </c>
      <c r="O9" s="4">
        <f t="shared" si="2"/>
        <v>448</v>
      </c>
      <c r="P9" s="4">
        <f t="shared" si="3"/>
        <v>0</v>
      </c>
      <c r="Q9" s="6" t="str">
        <f t="shared" si="4"/>
        <v>Standard</v>
      </c>
      <c r="R9" s="7" t="str">
        <f t="shared" si="5"/>
        <v>Check data</v>
      </c>
      <c r="T9" s="17" t="s">
        <v>51</v>
      </c>
      <c r="U9" s="18" t="s">
        <v>52</v>
      </c>
    </row>
    <row r="10" spans="1:21" ht="20" customHeight="1" x14ac:dyDescent="0.35">
      <c r="A10" s="2" t="s">
        <v>53</v>
      </c>
      <c r="B10" s="2" t="s">
        <v>54</v>
      </c>
      <c r="C10" s="2" t="s">
        <v>27</v>
      </c>
      <c r="D10" s="2" t="s">
        <v>38</v>
      </c>
      <c r="E10" s="2" t="s">
        <v>23</v>
      </c>
      <c r="F10" s="2" t="s">
        <v>29</v>
      </c>
      <c r="G10" s="3">
        <v>265</v>
      </c>
      <c r="H10" s="3">
        <v>240</v>
      </c>
      <c r="I10" s="3">
        <v>220</v>
      </c>
      <c r="J10" s="3">
        <v>205</v>
      </c>
      <c r="K10" s="3">
        <v>190</v>
      </c>
      <c r="L10" s="3">
        <v>175</v>
      </c>
      <c r="M10" s="4">
        <f t="shared" si="0"/>
        <v>1295</v>
      </c>
      <c r="N10" s="5">
        <f t="shared" si="1"/>
        <v>215.83333333333334</v>
      </c>
      <c r="O10" s="4">
        <f t="shared" si="2"/>
        <v>265</v>
      </c>
      <c r="P10" s="4">
        <f t="shared" si="3"/>
        <v>175</v>
      </c>
      <c r="Q10" s="6" t="str">
        <f t="shared" si="4"/>
        <v>Standard</v>
      </c>
      <c r="R10" s="7">
        <f t="shared" si="5"/>
        <v>-0.33962264150943394</v>
      </c>
    </row>
    <row r="11" spans="1:21" ht="20" customHeight="1" x14ac:dyDescent="0.35">
      <c r="A11" s="10" t="s">
        <v>55</v>
      </c>
      <c r="B11" s="10" t="s">
        <v>56</v>
      </c>
      <c r="C11" s="10" t="s">
        <v>57</v>
      </c>
      <c r="D11" s="10" t="s">
        <v>28</v>
      </c>
      <c r="E11" s="10" t="s">
        <v>23</v>
      </c>
      <c r="F11" s="10" t="s">
        <v>23</v>
      </c>
      <c r="G11" s="11">
        <v>30</v>
      </c>
      <c r="H11" s="11">
        <v>58</v>
      </c>
      <c r="I11" s="11">
        <v>120</v>
      </c>
      <c r="J11" s="11">
        <v>260</v>
      </c>
      <c r="K11" s="11">
        <v>520</v>
      </c>
      <c r="L11" s="11">
        <v>980</v>
      </c>
      <c r="M11" s="4">
        <f t="shared" si="0"/>
        <v>1968</v>
      </c>
      <c r="N11" s="5">
        <f t="shared" si="1"/>
        <v>328</v>
      </c>
      <c r="O11" s="4">
        <f t="shared" si="2"/>
        <v>980</v>
      </c>
      <c r="P11" s="4">
        <f t="shared" si="3"/>
        <v>30</v>
      </c>
      <c r="Q11" s="6" t="str">
        <f t="shared" si="4"/>
        <v>High</v>
      </c>
      <c r="R11" s="7">
        <f t="shared" si="5"/>
        <v>31.666666666666668</v>
      </c>
      <c r="T11" s="19" t="s">
        <v>58</v>
      </c>
      <c r="U11" s="22" t="s">
        <v>59</v>
      </c>
    </row>
    <row r="12" spans="1:21" ht="20" customHeight="1" x14ac:dyDescent="0.35">
      <c r="A12" s="2" t="s">
        <v>60</v>
      </c>
      <c r="B12" s="2" t="s">
        <v>61</v>
      </c>
      <c r="C12" s="2" t="s">
        <v>21</v>
      </c>
      <c r="D12" s="2" t="s">
        <v>42</v>
      </c>
      <c r="E12" s="2" t="s">
        <v>23</v>
      </c>
      <c r="F12" s="2" t="s">
        <v>23</v>
      </c>
      <c r="G12" s="3">
        <v>360</v>
      </c>
      <c r="H12" s="3">
        <v>375</v>
      </c>
      <c r="I12" s="3">
        <v>392</v>
      </c>
      <c r="J12" s="3">
        <v>410</v>
      </c>
      <c r="K12" s="3">
        <v>445</v>
      </c>
      <c r="L12" s="3">
        <v>470</v>
      </c>
      <c r="M12" s="4">
        <f t="shared" si="0"/>
        <v>2452</v>
      </c>
      <c r="N12" s="5">
        <f t="shared" si="1"/>
        <v>408.66666666666669</v>
      </c>
      <c r="O12" s="4">
        <f t="shared" si="2"/>
        <v>470</v>
      </c>
      <c r="P12" s="4">
        <f t="shared" si="3"/>
        <v>360</v>
      </c>
      <c r="Q12" s="6" t="str">
        <f t="shared" si="4"/>
        <v>Standard</v>
      </c>
      <c r="R12" s="7">
        <f t="shared" si="5"/>
        <v>0.30555555555555558</v>
      </c>
    </row>
    <row r="13" spans="1:21" ht="20" customHeight="1" x14ac:dyDescent="0.35">
      <c r="A13" s="10" t="s">
        <v>62</v>
      </c>
      <c r="B13" s="10" t="s">
        <v>63</v>
      </c>
      <c r="C13" s="10" t="s">
        <v>27</v>
      </c>
      <c r="D13" s="10" t="s">
        <v>22</v>
      </c>
      <c r="E13" s="10" t="s">
        <v>23</v>
      </c>
      <c r="F13" s="10" t="s">
        <v>29</v>
      </c>
      <c r="G13" s="11">
        <v>205</v>
      </c>
      <c r="H13" s="11">
        <v>212</v>
      </c>
      <c r="I13" s="11">
        <v>218</v>
      </c>
      <c r="J13" s="11">
        <v>225</v>
      </c>
      <c r="K13" s="11">
        <v>230</v>
      </c>
      <c r="L13" s="11">
        <v>236</v>
      </c>
      <c r="M13" s="4">
        <f t="shared" si="0"/>
        <v>1326</v>
      </c>
      <c r="N13" s="5">
        <f t="shared" si="1"/>
        <v>221</v>
      </c>
      <c r="O13" s="4">
        <f t="shared" si="2"/>
        <v>236</v>
      </c>
      <c r="P13" s="4">
        <f t="shared" si="3"/>
        <v>205</v>
      </c>
      <c r="Q13" s="6" t="str">
        <f t="shared" si="4"/>
        <v>Standard</v>
      </c>
      <c r="R13" s="7">
        <f t="shared" si="5"/>
        <v>0.15121951219512195</v>
      </c>
    </row>
    <row r="14" spans="1:21" ht="20" customHeight="1" x14ac:dyDescent="0.35">
      <c r="A14" s="2" t="s">
        <v>64</v>
      </c>
      <c r="B14" s="2" t="s">
        <v>65</v>
      </c>
      <c r="C14" s="2" t="s">
        <v>37</v>
      </c>
      <c r="D14" s="2" t="s">
        <v>34</v>
      </c>
      <c r="E14" s="2" t="s">
        <v>23</v>
      </c>
      <c r="F14" s="2" t="s">
        <v>23</v>
      </c>
      <c r="G14" s="3">
        <v>470</v>
      </c>
      <c r="H14" s="3">
        <v>510</v>
      </c>
      <c r="I14" s="3">
        <v>535</v>
      </c>
      <c r="J14" s="3">
        <v>565</v>
      </c>
      <c r="K14" s="3">
        <v>600</v>
      </c>
      <c r="L14" s="3">
        <v>640</v>
      </c>
      <c r="M14" s="4">
        <f t="shared" si="0"/>
        <v>3320</v>
      </c>
      <c r="N14" s="5">
        <f t="shared" si="1"/>
        <v>553.33333333333337</v>
      </c>
      <c r="O14" s="4">
        <f t="shared" si="2"/>
        <v>640</v>
      </c>
      <c r="P14" s="4">
        <f t="shared" si="3"/>
        <v>470</v>
      </c>
      <c r="Q14" s="6" t="str">
        <f t="shared" si="4"/>
        <v>High</v>
      </c>
      <c r="R14" s="7">
        <f t="shared" si="5"/>
        <v>0.36170212765957449</v>
      </c>
    </row>
    <row r="15" spans="1:21" ht="20" customHeight="1" x14ac:dyDescent="0.35">
      <c r="A15" s="10" t="s">
        <v>66</v>
      </c>
      <c r="B15" s="10" t="s">
        <v>67</v>
      </c>
      <c r="C15" s="10" t="s">
        <v>57</v>
      </c>
      <c r="D15" s="10" t="s">
        <v>38</v>
      </c>
      <c r="E15" s="10" t="s">
        <v>23</v>
      </c>
      <c r="F15" s="10" t="s">
        <v>23</v>
      </c>
      <c r="G15" s="11">
        <v>22</v>
      </c>
      <c r="H15" s="11">
        <v>48</v>
      </c>
      <c r="I15" s="11">
        <v>110</v>
      </c>
      <c r="J15" s="11">
        <v>245</v>
      </c>
      <c r="K15" s="11">
        <v>540</v>
      </c>
      <c r="L15" s="11">
        <v>1180</v>
      </c>
      <c r="M15" s="4">
        <f t="shared" si="0"/>
        <v>2145</v>
      </c>
      <c r="N15" s="5">
        <f t="shared" si="1"/>
        <v>357.5</v>
      </c>
      <c r="O15" s="4">
        <f t="shared" si="2"/>
        <v>1180</v>
      </c>
      <c r="P15" s="4">
        <f t="shared" si="3"/>
        <v>22</v>
      </c>
      <c r="Q15" s="6" t="str">
        <f t="shared" si="4"/>
        <v>High</v>
      </c>
      <c r="R15" s="7">
        <f t="shared" si="5"/>
        <v>52.636363636363633</v>
      </c>
    </row>
    <row r="16" spans="1:21" ht="20" customHeight="1" x14ac:dyDescent="0.35">
      <c r="A16" s="2" t="s">
        <v>68</v>
      </c>
      <c r="B16" s="2" t="s">
        <v>69</v>
      </c>
      <c r="C16" s="2" t="s">
        <v>33</v>
      </c>
      <c r="D16" s="2" t="s">
        <v>28</v>
      </c>
      <c r="E16" s="2" t="s">
        <v>23</v>
      </c>
      <c r="F16" s="2" t="s">
        <v>29</v>
      </c>
      <c r="G16" s="3">
        <v>125</v>
      </c>
      <c r="H16" s="3">
        <v>118</v>
      </c>
      <c r="I16" s="3">
        <v>112</v>
      </c>
      <c r="J16" s="3">
        <v>108</v>
      </c>
      <c r="K16" s="3">
        <v>102</v>
      </c>
      <c r="L16" s="3">
        <v>98</v>
      </c>
      <c r="M16" s="4">
        <f t="shared" si="0"/>
        <v>663</v>
      </c>
      <c r="N16" s="5">
        <f t="shared" si="1"/>
        <v>110.5</v>
      </c>
      <c r="O16" s="4">
        <f t="shared" si="2"/>
        <v>125</v>
      </c>
      <c r="P16" s="4">
        <f t="shared" si="3"/>
        <v>98</v>
      </c>
      <c r="Q16" s="6" t="str">
        <f t="shared" si="4"/>
        <v>Standard</v>
      </c>
      <c r="R16" s="7">
        <f t="shared" si="5"/>
        <v>-0.216</v>
      </c>
    </row>
    <row r="17" spans="1:18" ht="20" customHeight="1" x14ac:dyDescent="0.35">
      <c r="A17" s="10" t="s">
        <v>70</v>
      </c>
      <c r="B17" s="10" t="s">
        <v>71</v>
      </c>
      <c r="C17" s="10" t="s">
        <v>27</v>
      </c>
      <c r="D17" s="10" t="s">
        <v>42</v>
      </c>
      <c r="E17" s="10" t="s">
        <v>23</v>
      </c>
      <c r="F17" s="10" t="s">
        <v>23</v>
      </c>
      <c r="G17" s="11">
        <v>290</v>
      </c>
      <c r="H17" s="11">
        <v>315</v>
      </c>
      <c r="I17" s="11">
        <v>330</v>
      </c>
      <c r="J17" s="11">
        <v>350</v>
      </c>
      <c r="K17" s="11">
        <v>375</v>
      </c>
      <c r="L17" s="11">
        <v>405</v>
      </c>
      <c r="M17" s="4">
        <f t="shared" si="0"/>
        <v>2065</v>
      </c>
      <c r="N17" s="5">
        <f t="shared" si="1"/>
        <v>344.16666666666669</v>
      </c>
      <c r="O17" s="4">
        <f t="shared" si="2"/>
        <v>405</v>
      </c>
      <c r="P17" s="4">
        <f t="shared" si="3"/>
        <v>290</v>
      </c>
      <c r="Q17" s="6" t="str">
        <f t="shared" si="4"/>
        <v>Standard</v>
      </c>
      <c r="R17" s="7">
        <f t="shared" si="5"/>
        <v>0.39655172413793105</v>
      </c>
    </row>
    <row r="18" spans="1:18" ht="20" customHeight="1" x14ac:dyDescent="0.35">
      <c r="A18" s="2" t="s">
        <v>72</v>
      </c>
      <c r="B18" s="2" t="s">
        <v>73</v>
      </c>
      <c r="C18" s="2" t="s">
        <v>21</v>
      </c>
      <c r="D18" s="2" t="s">
        <v>22</v>
      </c>
      <c r="E18" s="2" t="s">
        <v>23</v>
      </c>
      <c r="F18" s="2" t="s">
        <v>29</v>
      </c>
      <c r="G18" s="3">
        <v>520</v>
      </c>
      <c r="H18" s="3">
        <v>500</v>
      </c>
      <c r="I18" s="3">
        <v>475</v>
      </c>
      <c r="J18" s="3">
        <v>460</v>
      </c>
      <c r="K18" s="3">
        <v>445</v>
      </c>
      <c r="L18" s="3">
        <v>430</v>
      </c>
      <c r="M18" s="4">
        <f t="shared" si="0"/>
        <v>2830</v>
      </c>
      <c r="N18" s="5">
        <f t="shared" si="1"/>
        <v>471.66666666666669</v>
      </c>
      <c r="O18" s="4">
        <f t="shared" si="2"/>
        <v>520</v>
      </c>
      <c r="P18" s="4">
        <f t="shared" si="3"/>
        <v>430</v>
      </c>
      <c r="Q18" s="6" t="str">
        <f t="shared" si="4"/>
        <v>Standard</v>
      </c>
      <c r="R18" s="7">
        <f t="shared" si="5"/>
        <v>-0.17307692307692307</v>
      </c>
    </row>
    <row r="19" spans="1:18" ht="20" customHeight="1" x14ac:dyDescent="0.35">
      <c r="A19" s="10" t="s">
        <v>74</v>
      </c>
      <c r="B19" s="10" t="s">
        <v>75</v>
      </c>
      <c r="C19" s="10" t="s">
        <v>27</v>
      </c>
      <c r="D19" s="10" t="s">
        <v>34</v>
      </c>
      <c r="E19" s="10" t="s">
        <v>23</v>
      </c>
      <c r="F19" s="10" t="s">
        <v>23</v>
      </c>
      <c r="G19" s="11">
        <v>155</v>
      </c>
      <c r="H19" s="11">
        <v>175</v>
      </c>
      <c r="I19" s="11">
        <v>190</v>
      </c>
      <c r="J19" s="11">
        <v>210</v>
      </c>
      <c r="K19" s="11">
        <v>235</v>
      </c>
      <c r="L19" s="11">
        <v>260</v>
      </c>
      <c r="M19" s="4">
        <f t="shared" si="0"/>
        <v>1225</v>
      </c>
      <c r="N19" s="5">
        <f t="shared" si="1"/>
        <v>204.16666666666666</v>
      </c>
      <c r="O19" s="4">
        <f t="shared" si="2"/>
        <v>260</v>
      </c>
      <c r="P19" s="4">
        <f t="shared" si="3"/>
        <v>155</v>
      </c>
      <c r="Q19" s="6" t="str">
        <f t="shared" si="4"/>
        <v>Standard</v>
      </c>
      <c r="R19" s="7">
        <f t="shared" si="5"/>
        <v>0.67741935483870963</v>
      </c>
    </row>
    <row r="20" spans="1:18" ht="20" customHeight="1" x14ac:dyDescent="0.35">
      <c r="A20" s="2" t="s">
        <v>76</v>
      </c>
      <c r="B20" s="2" t="s">
        <v>77</v>
      </c>
      <c r="C20" s="2" t="s">
        <v>57</v>
      </c>
      <c r="D20" s="2" t="s">
        <v>38</v>
      </c>
      <c r="E20" s="2" t="s">
        <v>23</v>
      </c>
      <c r="F20" s="2" t="s">
        <v>23</v>
      </c>
      <c r="G20" s="3">
        <v>18</v>
      </c>
      <c r="H20" s="3">
        <v>42</v>
      </c>
      <c r="I20" s="3">
        <v>105</v>
      </c>
      <c r="J20" s="3">
        <v>270</v>
      </c>
      <c r="K20" s="3">
        <v>690</v>
      </c>
      <c r="L20" s="3">
        <v>1450</v>
      </c>
      <c r="M20" s="4">
        <f t="shared" si="0"/>
        <v>2575</v>
      </c>
      <c r="N20" s="5">
        <f t="shared" si="1"/>
        <v>429.16666666666669</v>
      </c>
      <c r="O20" s="4">
        <f t="shared" si="2"/>
        <v>1450</v>
      </c>
      <c r="P20" s="4">
        <f t="shared" si="3"/>
        <v>18</v>
      </c>
      <c r="Q20" s="6" t="str">
        <f t="shared" si="4"/>
        <v>High</v>
      </c>
      <c r="R20" s="7">
        <f t="shared" si="5"/>
        <v>79.555555555555557</v>
      </c>
    </row>
    <row r="21" spans="1:18" ht="20" customHeight="1" x14ac:dyDescent="0.35">
      <c r="A21" s="10" t="s">
        <v>78</v>
      </c>
      <c r="B21" s="10" t="s">
        <v>79</v>
      </c>
      <c r="C21" s="10" t="s">
        <v>37</v>
      </c>
      <c r="D21" s="10" t="s">
        <v>28</v>
      </c>
      <c r="E21" s="10" t="s">
        <v>23</v>
      </c>
      <c r="F21" s="10" t="s">
        <v>29</v>
      </c>
      <c r="G21" s="11">
        <v>385</v>
      </c>
      <c r="H21" s="11">
        <v>400</v>
      </c>
      <c r="I21" s="11">
        <v>418</v>
      </c>
      <c r="J21" s="11">
        <v>430</v>
      </c>
      <c r="K21" s="11">
        <v>452</v>
      </c>
      <c r="L21" s="11">
        <v>475</v>
      </c>
      <c r="M21" s="4">
        <f t="shared" si="0"/>
        <v>2560</v>
      </c>
      <c r="N21" s="5">
        <f t="shared" si="1"/>
        <v>426.66666666666669</v>
      </c>
      <c r="O21" s="4">
        <f t="shared" si="2"/>
        <v>475</v>
      </c>
      <c r="P21" s="4">
        <f t="shared" si="3"/>
        <v>385</v>
      </c>
      <c r="Q21" s="6" t="str">
        <f t="shared" si="4"/>
        <v>Standard</v>
      </c>
      <c r="R21" s="7">
        <f t="shared" si="5"/>
        <v>0.23376623376623376</v>
      </c>
    </row>
    <row r="22" spans="1:18" ht="20" customHeight="1" x14ac:dyDescent="0.35">
      <c r="A22" s="2" t="s">
        <v>80</v>
      </c>
      <c r="B22" s="2" t="s">
        <v>81</v>
      </c>
      <c r="C22" s="2" t="s">
        <v>21</v>
      </c>
      <c r="D22" s="2" t="s">
        <v>42</v>
      </c>
      <c r="E22" s="2" t="s">
        <v>23</v>
      </c>
      <c r="F22" s="2" t="s">
        <v>23</v>
      </c>
      <c r="G22" s="3">
        <v>610</v>
      </c>
      <c r="H22" s="3">
        <v>640</v>
      </c>
      <c r="I22" s="3">
        <v>675</v>
      </c>
      <c r="J22" s="3">
        <v>710</v>
      </c>
      <c r="K22" s="3">
        <v>760</v>
      </c>
      <c r="L22" s="3">
        <v>820</v>
      </c>
      <c r="M22" s="4">
        <f t="shared" si="0"/>
        <v>4215</v>
      </c>
      <c r="N22" s="5">
        <f t="shared" si="1"/>
        <v>702.5</v>
      </c>
      <c r="O22" s="4">
        <f t="shared" si="2"/>
        <v>820</v>
      </c>
      <c r="P22" s="4">
        <f t="shared" si="3"/>
        <v>610</v>
      </c>
      <c r="Q22" s="6" t="str">
        <f t="shared" si="4"/>
        <v>High</v>
      </c>
      <c r="R22" s="7">
        <f t="shared" si="5"/>
        <v>0.34426229508196721</v>
      </c>
    </row>
    <row r="23" spans="1:18" ht="20" customHeight="1" x14ac:dyDescent="0.35">
      <c r="A23" s="10" t="s">
        <v>82</v>
      </c>
      <c r="B23" s="10" t="s">
        <v>83</v>
      </c>
      <c r="C23" s="10" t="s">
        <v>27</v>
      </c>
      <c r="D23" s="10" t="s">
        <v>22</v>
      </c>
      <c r="E23" s="10" t="s">
        <v>23</v>
      </c>
      <c r="F23" s="10" t="s">
        <v>29</v>
      </c>
      <c r="G23" s="11">
        <v>195</v>
      </c>
      <c r="H23" s="11">
        <v>188</v>
      </c>
      <c r="I23" s="11">
        <v>180</v>
      </c>
      <c r="J23" s="11">
        <v>172</v>
      </c>
      <c r="K23" s="11">
        <v>166</v>
      </c>
      <c r="L23" s="11">
        <v>160</v>
      </c>
      <c r="M23" s="4">
        <f t="shared" si="0"/>
        <v>1061</v>
      </c>
      <c r="N23" s="5">
        <f t="shared" si="1"/>
        <v>176.83333333333334</v>
      </c>
      <c r="O23" s="4">
        <f t="shared" si="2"/>
        <v>195</v>
      </c>
      <c r="P23" s="4">
        <f t="shared" si="3"/>
        <v>160</v>
      </c>
      <c r="Q23" s="6" t="str">
        <f t="shared" si="4"/>
        <v>Standard</v>
      </c>
      <c r="R23" s="7">
        <f t="shared" si="5"/>
        <v>-0.17948717948717949</v>
      </c>
    </row>
    <row r="24" spans="1:18" ht="20" customHeight="1" x14ac:dyDescent="0.35">
      <c r="A24" s="2" t="s">
        <v>84</v>
      </c>
      <c r="B24" s="2" t="s">
        <v>85</v>
      </c>
      <c r="C24" s="2" t="s">
        <v>33</v>
      </c>
      <c r="D24" s="2" t="s">
        <v>34</v>
      </c>
      <c r="E24" s="2" t="s">
        <v>23</v>
      </c>
      <c r="F24" s="2" t="s">
        <v>23</v>
      </c>
      <c r="G24" s="3">
        <v>88</v>
      </c>
      <c r="H24" s="3">
        <v>105</v>
      </c>
      <c r="I24" s="3">
        <v>122</v>
      </c>
      <c r="J24" s="3">
        <v>140</v>
      </c>
      <c r="K24" s="3">
        <v>158</v>
      </c>
      <c r="L24" s="3">
        <v>180</v>
      </c>
      <c r="M24" s="4">
        <f t="shared" si="0"/>
        <v>793</v>
      </c>
      <c r="N24" s="5">
        <f t="shared" si="1"/>
        <v>132.16666666666666</v>
      </c>
      <c r="O24" s="4">
        <f t="shared" si="2"/>
        <v>180</v>
      </c>
      <c r="P24" s="4">
        <f t="shared" si="3"/>
        <v>88</v>
      </c>
      <c r="Q24" s="6" t="str">
        <f t="shared" si="4"/>
        <v>Standard</v>
      </c>
      <c r="R24" s="7">
        <f t="shared" si="5"/>
        <v>1.0454545454545454</v>
      </c>
    </row>
    <row r="25" spans="1:18" ht="20" customHeight="1" x14ac:dyDescent="0.35">
      <c r="A25" s="10" t="s">
        <v>86</v>
      </c>
      <c r="B25" s="10" t="s">
        <v>87</v>
      </c>
      <c r="C25" s="10" t="s">
        <v>37</v>
      </c>
      <c r="D25" s="10" t="s">
        <v>38</v>
      </c>
      <c r="E25" s="10" t="s">
        <v>23</v>
      </c>
      <c r="F25" s="10" t="s">
        <v>23</v>
      </c>
      <c r="G25" s="11">
        <v>440</v>
      </c>
      <c r="H25" s="11">
        <v>465</v>
      </c>
      <c r="I25" s="11">
        <v>490</v>
      </c>
      <c r="J25" s="11">
        <v>520</v>
      </c>
      <c r="K25" s="11">
        <v>555</v>
      </c>
      <c r="L25" s="11">
        <v>590</v>
      </c>
      <c r="M25" s="4">
        <f t="shared" si="0"/>
        <v>3060</v>
      </c>
      <c r="N25" s="5">
        <f t="shared" si="1"/>
        <v>510</v>
      </c>
      <c r="O25" s="4">
        <f t="shared" si="2"/>
        <v>590</v>
      </c>
      <c r="P25" s="4">
        <f t="shared" si="3"/>
        <v>440</v>
      </c>
      <c r="Q25" s="6" t="str">
        <f t="shared" si="4"/>
        <v>High</v>
      </c>
      <c r="R25" s="7">
        <f t="shared" si="5"/>
        <v>0.34090909090909088</v>
      </c>
    </row>
    <row r="26" spans="1:18" ht="20" customHeight="1" x14ac:dyDescent="0.35">
      <c r="A26" s="2" t="s">
        <v>88</v>
      </c>
      <c r="B26" s="2" t="s">
        <v>89</v>
      </c>
      <c r="C26" s="2" t="s">
        <v>27</v>
      </c>
      <c r="D26" s="2" t="s">
        <v>28</v>
      </c>
      <c r="E26" s="2" t="s">
        <v>23</v>
      </c>
      <c r="F26" s="2" t="s">
        <v>29</v>
      </c>
      <c r="G26" s="3">
        <v>275</v>
      </c>
      <c r="H26" s="3">
        <v>295</v>
      </c>
      <c r="I26" s="3">
        <v>310</v>
      </c>
      <c r="J26" s="3">
        <v>328</v>
      </c>
      <c r="K26" s="3">
        <v>350</v>
      </c>
      <c r="L26" s="3">
        <v>372</v>
      </c>
      <c r="M26" s="4">
        <f t="shared" si="0"/>
        <v>1930</v>
      </c>
      <c r="N26" s="5">
        <f t="shared" si="1"/>
        <v>321.66666666666669</v>
      </c>
      <c r="O26" s="4">
        <f t="shared" si="2"/>
        <v>372</v>
      </c>
      <c r="P26" s="4">
        <f t="shared" si="3"/>
        <v>275</v>
      </c>
      <c r="Q26" s="6" t="str">
        <f t="shared" si="4"/>
        <v>Standard</v>
      </c>
      <c r="R26" s="7">
        <f t="shared" si="5"/>
        <v>0.35272727272727272</v>
      </c>
    </row>
    <row r="27" spans="1:18" ht="20" customHeight="1" x14ac:dyDescent="0.35">
      <c r="A27" s="10" t="s">
        <v>90</v>
      </c>
      <c r="B27" s="10" t="s">
        <v>91</v>
      </c>
      <c r="C27" s="10" t="s">
        <v>21</v>
      </c>
      <c r="D27" s="10" t="s">
        <v>42</v>
      </c>
      <c r="E27" s="10" t="s">
        <v>23</v>
      </c>
      <c r="F27" s="10" t="s">
        <v>23</v>
      </c>
      <c r="G27" s="11">
        <v>0</v>
      </c>
      <c r="H27" s="11">
        <v>355</v>
      </c>
      <c r="I27" s="11">
        <v>380</v>
      </c>
      <c r="J27" s="11">
        <v>405</v>
      </c>
      <c r="K27" s="11">
        <v>435</v>
      </c>
      <c r="L27" s="11">
        <v>468</v>
      </c>
      <c r="M27" s="4">
        <f t="shared" si="0"/>
        <v>2043</v>
      </c>
      <c r="N27" s="5">
        <f t="shared" si="1"/>
        <v>340.5</v>
      </c>
      <c r="O27" s="4">
        <f t="shared" si="2"/>
        <v>468</v>
      </c>
      <c r="P27" s="4">
        <f t="shared" si="3"/>
        <v>0</v>
      </c>
      <c r="Q27" s="6" t="str">
        <f t="shared" si="4"/>
        <v>Standard</v>
      </c>
      <c r="R27" s="7" t="str">
        <f t="shared" si="5"/>
        <v>Check data</v>
      </c>
    </row>
    <row r="28" spans="1:18" ht="20" customHeight="1" x14ac:dyDescent="0.35">
      <c r="A28" s="2" t="s">
        <v>92</v>
      </c>
      <c r="B28" s="2" t="s">
        <v>93</v>
      </c>
      <c r="C28" s="2" t="s">
        <v>27</v>
      </c>
      <c r="D28" s="2" t="s">
        <v>22</v>
      </c>
      <c r="E28" s="2" t="s">
        <v>23</v>
      </c>
      <c r="F28" s="2" t="s">
        <v>29</v>
      </c>
      <c r="G28" s="3">
        <v>160</v>
      </c>
      <c r="H28" s="3">
        <v>154</v>
      </c>
      <c r="I28" s="3">
        <v>149</v>
      </c>
      <c r="J28" s="3">
        <v>143</v>
      </c>
      <c r="K28" s="3">
        <v>138</v>
      </c>
      <c r="L28" s="3">
        <v>132</v>
      </c>
      <c r="M28" s="4">
        <f t="shared" si="0"/>
        <v>876</v>
      </c>
      <c r="N28" s="5">
        <f t="shared" si="1"/>
        <v>146</v>
      </c>
      <c r="O28" s="4">
        <f t="shared" si="2"/>
        <v>160</v>
      </c>
      <c r="P28" s="4">
        <f t="shared" si="3"/>
        <v>132</v>
      </c>
      <c r="Q28" s="6" t="str">
        <f t="shared" si="4"/>
        <v>Standard</v>
      </c>
      <c r="R28" s="7">
        <f t="shared" si="5"/>
        <v>-0.17499999999999999</v>
      </c>
    </row>
    <row r="29" spans="1:18" ht="20" customHeight="1" x14ac:dyDescent="0.35">
      <c r="A29" s="10" t="s">
        <v>94</v>
      </c>
      <c r="B29" s="10" t="s">
        <v>95</v>
      </c>
      <c r="C29" s="10" t="s">
        <v>57</v>
      </c>
      <c r="D29" s="10" t="s">
        <v>34</v>
      </c>
      <c r="E29" s="10" t="s">
        <v>23</v>
      </c>
      <c r="F29" s="10" t="s">
        <v>23</v>
      </c>
      <c r="G29" s="11">
        <v>48</v>
      </c>
      <c r="H29" s="11">
        <v>76</v>
      </c>
      <c r="I29" s="11">
        <v>120</v>
      </c>
      <c r="J29" s="11">
        <v>190</v>
      </c>
      <c r="K29" s="11">
        <v>305</v>
      </c>
      <c r="L29" s="11">
        <v>510</v>
      </c>
      <c r="M29" s="4">
        <f t="shared" si="0"/>
        <v>1249</v>
      </c>
      <c r="N29" s="5">
        <f t="shared" si="1"/>
        <v>208.16666666666666</v>
      </c>
      <c r="O29" s="4">
        <f t="shared" si="2"/>
        <v>510</v>
      </c>
      <c r="P29" s="4">
        <f t="shared" si="3"/>
        <v>48</v>
      </c>
      <c r="Q29" s="6" t="str">
        <f t="shared" si="4"/>
        <v>High</v>
      </c>
      <c r="R29" s="7">
        <f t="shared" si="5"/>
        <v>9.625</v>
      </c>
    </row>
    <row r="30" spans="1:18" ht="20" customHeight="1" x14ac:dyDescent="0.35">
      <c r="A30" s="2" t="s">
        <v>96</v>
      </c>
      <c r="B30" s="2" t="s">
        <v>97</v>
      </c>
      <c r="C30" s="2" t="s">
        <v>33</v>
      </c>
      <c r="D30" s="2" t="s">
        <v>38</v>
      </c>
      <c r="E30" s="2" t="s">
        <v>23</v>
      </c>
      <c r="F30" s="2" t="s">
        <v>29</v>
      </c>
      <c r="G30" s="3">
        <v>115</v>
      </c>
      <c r="H30" s="3">
        <v>128</v>
      </c>
      <c r="I30" s="3">
        <v>135</v>
      </c>
      <c r="J30" s="3">
        <v>145</v>
      </c>
      <c r="K30" s="3">
        <v>150</v>
      </c>
      <c r="L30" s="3">
        <v>158</v>
      </c>
      <c r="M30" s="4">
        <f t="shared" si="0"/>
        <v>831</v>
      </c>
      <c r="N30" s="5">
        <f t="shared" si="1"/>
        <v>138.5</v>
      </c>
      <c r="O30" s="4">
        <f t="shared" si="2"/>
        <v>158</v>
      </c>
      <c r="P30" s="4">
        <f t="shared" si="3"/>
        <v>115</v>
      </c>
      <c r="Q30" s="6" t="str">
        <f t="shared" si="4"/>
        <v>Standard</v>
      </c>
      <c r="R30" s="7">
        <f t="shared" si="5"/>
        <v>0.37391304347826088</v>
      </c>
    </row>
    <row r="31" spans="1:18" ht="20" customHeight="1" x14ac:dyDescent="0.35">
      <c r="A31" s="10" t="s">
        <v>98</v>
      </c>
      <c r="B31" s="10" t="s">
        <v>99</v>
      </c>
      <c r="C31" s="10" t="s">
        <v>37</v>
      </c>
      <c r="D31" s="10" t="s">
        <v>28</v>
      </c>
      <c r="E31" s="10" t="s">
        <v>23</v>
      </c>
      <c r="F31" s="10" t="s">
        <v>23</v>
      </c>
      <c r="G31" s="11">
        <v>505</v>
      </c>
      <c r="H31" s="11">
        <v>540</v>
      </c>
      <c r="I31" s="11">
        <v>570</v>
      </c>
      <c r="J31" s="11">
        <v>615</v>
      </c>
      <c r="K31" s="11">
        <v>655</v>
      </c>
      <c r="L31" s="11">
        <v>705</v>
      </c>
      <c r="M31" s="4">
        <f t="shared" si="0"/>
        <v>3590</v>
      </c>
      <c r="N31" s="5">
        <f t="shared" si="1"/>
        <v>598.33333333333337</v>
      </c>
      <c r="O31" s="4">
        <f t="shared" si="2"/>
        <v>705</v>
      </c>
      <c r="P31" s="4">
        <f t="shared" si="3"/>
        <v>505</v>
      </c>
      <c r="Q31" s="6" t="str">
        <f t="shared" si="4"/>
        <v>High</v>
      </c>
      <c r="R31" s="7">
        <f t="shared" si="5"/>
        <v>0.39603960396039606</v>
      </c>
    </row>
    <row r="32" spans="1:18" ht="20" customHeight="1" x14ac:dyDescent="0.35">
      <c r="A32" s="2" t="s">
        <v>100</v>
      </c>
      <c r="B32" s="2" t="s">
        <v>101</v>
      </c>
      <c r="C32" s="2" t="s">
        <v>27</v>
      </c>
      <c r="D32" s="2" t="s">
        <v>42</v>
      </c>
      <c r="E32" s="2" t="s">
        <v>23</v>
      </c>
      <c r="F32" s="2" t="s">
        <v>23</v>
      </c>
      <c r="G32" s="3">
        <v>225</v>
      </c>
      <c r="H32" s="3">
        <v>250</v>
      </c>
      <c r="I32" s="3">
        <v>272</v>
      </c>
      <c r="J32" s="3">
        <v>295</v>
      </c>
      <c r="K32" s="3">
        <v>318</v>
      </c>
      <c r="L32" s="3">
        <v>345</v>
      </c>
      <c r="M32" s="4">
        <f t="shared" si="0"/>
        <v>1705</v>
      </c>
      <c r="N32" s="5">
        <f t="shared" si="1"/>
        <v>284.16666666666669</v>
      </c>
      <c r="O32" s="4">
        <f t="shared" si="2"/>
        <v>345</v>
      </c>
      <c r="P32" s="4">
        <f t="shared" si="3"/>
        <v>225</v>
      </c>
      <c r="Q32" s="6" t="str">
        <f t="shared" si="4"/>
        <v>Standard</v>
      </c>
      <c r="R32" s="7">
        <f t="shared" si="5"/>
        <v>0.53333333333333333</v>
      </c>
    </row>
    <row r="33" spans="1:18" ht="20" customHeight="1" x14ac:dyDescent="0.35">
      <c r="A33" s="10" t="s">
        <v>102</v>
      </c>
      <c r="B33" s="10" t="s">
        <v>103</v>
      </c>
      <c r="C33" s="10" t="s">
        <v>57</v>
      </c>
      <c r="D33" s="10" t="s">
        <v>22</v>
      </c>
      <c r="E33" s="10" t="s">
        <v>23</v>
      </c>
      <c r="F33" s="10" t="s">
        <v>29</v>
      </c>
      <c r="G33" s="11">
        <v>65</v>
      </c>
      <c r="H33" s="11">
        <v>92</v>
      </c>
      <c r="I33" s="11">
        <v>135</v>
      </c>
      <c r="J33" s="11">
        <v>205</v>
      </c>
      <c r="K33" s="11">
        <v>310</v>
      </c>
      <c r="L33" s="11">
        <v>460</v>
      </c>
      <c r="M33" s="4">
        <f t="shared" si="0"/>
        <v>1267</v>
      </c>
      <c r="N33" s="5">
        <f t="shared" si="1"/>
        <v>211.16666666666666</v>
      </c>
      <c r="O33" s="4">
        <f t="shared" si="2"/>
        <v>460</v>
      </c>
      <c r="P33" s="4">
        <f t="shared" si="3"/>
        <v>65</v>
      </c>
      <c r="Q33" s="6" t="str">
        <f t="shared" si="4"/>
        <v>Standard</v>
      </c>
      <c r="R33" s="7">
        <f t="shared" si="5"/>
        <v>6.0769230769230766</v>
      </c>
    </row>
    <row r="34" spans="1:18" ht="20" customHeight="1" x14ac:dyDescent="0.35">
      <c r="A34" s="2" t="s">
        <v>104</v>
      </c>
      <c r="B34" s="2" t="s">
        <v>105</v>
      </c>
      <c r="C34" s="2" t="s">
        <v>21</v>
      </c>
      <c r="D34" s="2" t="s">
        <v>34</v>
      </c>
      <c r="E34" s="2" t="s">
        <v>23</v>
      </c>
      <c r="F34" s="2" t="s">
        <v>23</v>
      </c>
      <c r="G34" s="3">
        <v>395</v>
      </c>
      <c r="H34" s="3">
        <v>420</v>
      </c>
      <c r="I34" s="3">
        <v>445</v>
      </c>
      <c r="J34" s="3">
        <v>475</v>
      </c>
      <c r="K34" s="3">
        <v>505</v>
      </c>
      <c r="L34" s="3">
        <v>535</v>
      </c>
      <c r="M34" s="4">
        <f t="shared" si="0"/>
        <v>2775</v>
      </c>
      <c r="N34" s="5">
        <f t="shared" si="1"/>
        <v>462.5</v>
      </c>
      <c r="O34" s="4">
        <f t="shared" si="2"/>
        <v>535</v>
      </c>
      <c r="P34" s="4">
        <f t="shared" si="3"/>
        <v>395</v>
      </c>
      <c r="Q34" s="6" t="str">
        <f t="shared" si="4"/>
        <v>High</v>
      </c>
      <c r="R34" s="7">
        <f t="shared" si="5"/>
        <v>0.35443037974683544</v>
      </c>
    </row>
    <row r="35" spans="1:18" ht="20" customHeight="1" x14ac:dyDescent="0.35">
      <c r="A35" s="10" t="s">
        <v>106</v>
      </c>
      <c r="B35" s="10" t="s">
        <v>107</v>
      </c>
      <c r="C35" s="10" t="s">
        <v>27</v>
      </c>
      <c r="D35" s="10" t="s">
        <v>42</v>
      </c>
      <c r="E35" s="10" t="s">
        <v>23</v>
      </c>
      <c r="F35" s="10" t="s">
        <v>29</v>
      </c>
      <c r="G35" s="11">
        <v>245</v>
      </c>
      <c r="H35" s="11">
        <v>232</v>
      </c>
      <c r="I35" s="11">
        <v>220</v>
      </c>
      <c r="J35" s="11">
        <v>210</v>
      </c>
      <c r="K35" s="11">
        <v>202</v>
      </c>
      <c r="L35" s="11">
        <v>194</v>
      </c>
      <c r="M35" s="4">
        <f t="shared" si="0"/>
        <v>1303</v>
      </c>
      <c r="N35" s="5">
        <f t="shared" si="1"/>
        <v>217.16666666666666</v>
      </c>
      <c r="O35" s="4">
        <f t="shared" si="2"/>
        <v>245</v>
      </c>
      <c r="P35" s="4">
        <f t="shared" si="3"/>
        <v>194</v>
      </c>
      <c r="Q35" s="6" t="str">
        <f t="shared" si="4"/>
        <v>Standard</v>
      </c>
      <c r="R35" s="7">
        <f t="shared" si="5"/>
        <v>-0.20816326530612245</v>
      </c>
    </row>
    <row r="36" spans="1:18" ht="20" customHeight="1" x14ac:dyDescent="0.35">
      <c r="A36" s="2" t="s">
        <v>108</v>
      </c>
      <c r="B36" s="2" t="s">
        <v>109</v>
      </c>
      <c r="C36" s="2" t="s">
        <v>33</v>
      </c>
      <c r="D36" s="2" t="s">
        <v>28</v>
      </c>
      <c r="E36" s="2" t="s">
        <v>23</v>
      </c>
      <c r="F36" s="2" t="s">
        <v>23</v>
      </c>
      <c r="G36" s="3">
        <v>102</v>
      </c>
      <c r="H36" s="3">
        <v>115</v>
      </c>
      <c r="I36" s="3">
        <v>129</v>
      </c>
      <c r="J36" s="3">
        <v>144</v>
      </c>
      <c r="K36" s="3">
        <v>161</v>
      </c>
      <c r="L36" s="3">
        <v>178</v>
      </c>
      <c r="M36" s="4">
        <f t="shared" si="0"/>
        <v>829</v>
      </c>
      <c r="N36" s="5">
        <f t="shared" si="1"/>
        <v>138.16666666666666</v>
      </c>
      <c r="O36" s="4">
        <f t="shared" si="2"/>
        <v>178</v>
      </c>
      <c r="P36" s="4">
        <f t="shared" si="3"/>
        <v>102</v>
      </c>
      <c r="Q36" s="6" t="str">
        <f t="shared" si="4"/>
        <v>Standard</v>
      </c>
      <c r="R36" s="7">
        <f t="shared" si="5"/>
        <v>0.74509803921568629</v>
      </c>
    </row>
    <row r="37" spans="1:18" ht="20" customHeight="1" x14ac:dyDescent="0.35">
      <c r="A37" s="10" t="s">
        <v>110</v>
      </c>
      <c r="B37" s="10" t="s">
        <v>111</v>
      </c>
      <c r="C37" s="10" t="s">
        <v>57</v>
      </c>
      <c r="D37" s="10" t="s">
        <v>42</v>
      </c>
      <c r="E37" s="10" t="s">
        <v>23</v>
      </c>
      <c r="F37" s="10" t="s">
        <v>23</v>
      </c>
      <c r="G37" s="11">
        <v>55</v>
      </c>
      <c r="H37" s="11">
        <v>90</v>
      </c>
      <c r="I37" s="11">
        <v>150</v>
      </c>
      <c r="J37" s="11">
        <v>240</v>
      </c>
      <c r="K37" s="11">
        <v>365</v>
      </c>
      <c r="L37" s="11">
        <v>560</v>
      </c>
      <c r="M37" s="4">
        <f t="shared" si="0"/>
        <v>1460</v>
      </c>
      <c r="N37" s="5">
        <f t="shared" si="1"/>
        <v>243.33333333333334</v>
      </c>
      <c r="O37" s="4">
        <f t="shared" si="2"/>
        <v>560</v>
      </c>
      <c r="P37" s="4">
        <f t="shared" si="3"/>
        <v>55</v>
      </c>
      <c r="Q37" s="6" t="str">
        <f t="shared" si="4"/>
        <v>High</v>
      </c>
      <c r="R37" s="7">
        <f t="shared" si="5"/>
        <v>9.1818181818181817</v>
      </c>
    </row>
    <row r="38" spans="1:18" ht="20" customHeight="1" x14ac:dyDescent="0.35">
      <c r="A38" s="2" t="s">
        <v>112</v>
      </c>
      <c r="B38" s="2" t="s">
        <v>113</v>
      </c>
      <c r="C38" s="2" t="s">
        <v>37</v>
      </c>
      <c r="D38" s="2" t="s">
        <v>22</v>
      </c>
      <c r="E38" s="2" t="s">
        <v>23</v>
      </c>
      <c r="F38" s="2" t="s">
        <v>29</v>
      </c>
      <c r="G38" s="3">
        <v>455</v>
      </c>
      <c r="H38" s="3">
        <v>470</v>
      </c>
      <c r="I38" s="3">
        <v>488</v>
      </c>
      <c r="J38" s="3">
        <v>505</v>
      </c>
      <c r="K38" s="3">
        <v>525</v>
      </c>
      <c r="L38" s="3">
        <v>548</v>
      </c>
      <c r="M38" s="4">
        <f t="shared" si="0"/>
        <v>2991</v>
      </c>
      <c r="N38" s="5">
        <f t="shared" si="1"/>
        <v>498.5</v>
      </c>
      <c r="O38" s="4">
        <f t="shared" si="2"/>
        <v>548</v>
      </c>
      <c r="P38" s="4">
        <f t="shared" si="3"/>
        <v>455</v>
      </c>
      <c r="Q38" s="6" t="str">
        <f t="shared" si="4"/>
        <v>High</v>
      </c>
      <c r="R38" s="7">
        <f t="shared" si="5"/>
        <v>0.20439560439560439</v>
      </c>
    </row>
    <row r="39" spans="1:18" ht="20" customHeight="1" x14ac:dyDescent="0.35">
      <c r="A39" s="10" t="s">
        <v>114</v>
      </c>
      <c r="B39" s="10" t="s">
        <v>115</v>
      </c>
      <c r="C39" s="10" t="s">
        <v>27</v>
      </c>
      <c r="D39" s="10" t="s">
        <v>34</v>
      </c>
      <c r="E39" s="10" t="s">
        <v>23</v>
      </c>
      <c r="F39" s="10" t="s">
        <v>23</v>
      </c>
      <c r="G39" s="11">
        <v>215</v>
      </c>
      <c r="H39" s="11">
        <v>225</v>
      </c>
      <c r="I39" s="11">
        <v>240</v>
      </c>
      <c r="J39" s="11">
        <v>258</v>
      </c>
      <c r="K39" s="11">
        <v>275</v>
      </c>
      <c r="L39" s="11">
        <v>292</v>
      </c>
      <c r="M39" s="4">
        <f t="shared" si="0"/>
        <v>1505</v>
      </c>
      <c r="N39" s="5">
        <f t="shared" si="1"/>
        <v>250.83333333333334</v>
      </c>
      <c r="O39" s="4">
        <f t="shared" si="2"/>
        <v>292</v>
      </c>
      <c r="P39" s="4">
        <f t="shared" si="3"/>
        <v>215</v>
      </c>
      <c r="Q39" s="6" t="str">
        <f t="shared" si="4"/>
        <v>Standard</v>
      </c>
      <c r="R39" s="7">
        <f t="shared" si="5"/>
        <v>0.35813953488372091</v>
      </c>
    </row>
    <row r="40" spans="1:18" ht="20" customHeight="1" x14ac:dyDescent="0.35">
      <c r="A40" s="2" t="s">
        <v>116</v>
      </c>
      <c r="B40" s="2" t="s">
        <v>117</v>
      </c>
      <c r="C40" s="2" t="s">
        <v>21</v>
      </c>
      <c r="D40" s="2" t="s">
        <v>38</v>
      </c>
      <c r="E40" s="2" t="s">
        <v>23</v>
      </c>
      <c r="F40" s="2" t="s">
        <v>29</v>
      </c>
      <c r="G40" s="3">
        <v>575</v>
      </c>
      <c r="H40" s="3">
        <v>600</v>
      </c>
      <c r="I40" s="3">
        <v>630</v>
      </c>
      <c r="J40" s="3">
        <v>665</v>
      </c>
      <c r="K40" s="3">
        <v>700</v>
      </c>
      <c r="L40" s="3">
        <v>748</v>
      </c>
      <c r="M40" s="4">
        <f t="shared" si="0"/>
        <v>3918</v>
      </c>
      <c r="N40" s="5">
        <f t="shared" si="1"/>
        <v>653</v>
      </c>
      <c r="O40" s="4">
        <f t="shared" si="2"/>
        <v>748</v>
      </c>
      <c r="P40" s="4">
        <f t="shared" si="3"/>
        <v>575</v>
      </c>
      <c r="Q40" s="6" t="str">
        <f t="shared" si="4"/>
        <v>High</v>
      </c>
      <c r="R40" s="7">
        <f t="shared" si="5"/>
        <v>0.30086956521739128</v>
      </c>
    </row>
    <row r="41" spans="1:18" ht="20" customHeight="1" x14ac:dyDescent="0.35">
      <c r="A41" s="10" t="s">
        <v>118</v>
      </c>
      <c r="B41" s="10" t="s">
        <v>119</v>
      </c>
      <c r="C41" s="10" t="s">
        <v>27</v>
      </c>
      <c r="D41" s="10" t="s">
        <v>28</v>
      </c>
      <c r="E41" s="10" t="s">
        <v>23</v>
      </c>
      <c r="F41" s="10" t="s">
        <v>23</v>
      </c>
      <c r="G41" s="11">
        <v>190</v>
      </c>
      <c r="H41" s="11">
        <v>205</v>
      </c>
      <c r="I41" s="11">
        <v>222</v>
      </c>
      <c r="J41" s="11">
        <v>240</v>
      </c>
      <c r="K41" s="11">
        <v>262</v>
      </c>
      <c r="L41" s="11">
        <v>286</v>
      </c>
      <c r="M41" s="4">
        <f t="shared" si="0"/>
        <v>1405</v>
      </c>
      <c r="N41" s="5">
        <f t="shared" si="1"/>
        <v>234.16666666666666</v>
      </c>
      <c r="O41" s="4">
        <f t="shared" si="2"/>
        <v>286</v>
      </c>
      <c r="P41" s="4">
        <f t="shared" si="3"/>
        <v>190</v>
      </c>
      <c r="Q41" s="6" t="str">
        <f t="shared" si="4"/>
        <v>Standard</v>
      </c>
      <c r="R41" s="7">
        <f t="shared" si="5"/>
        <v>0.50526315789473686</v>
      </c>
    </row>
  </sheetData>
  <mergeCells count="1">
    <mergeCell ref="T1:U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Formula Practice</dc:title>
  <dc:subject>Excel Skills - Task 4 formula practice workbook</dc:subject>
  <dc:creator>Forage</dc:creator>
  <cp:lastModifiedBy>ravi kumar</cp:lastModifiedBy>
  <dcterms:created xsi:type="dcterms:W3CDTF">2026-09-02T18:31:05Z</dcterms:created>
  <dcterms:modified xsi:type="dcterms:W3CDTF">2026-10-21T06:40:59Z</dcterms:modified>
</cp:coreProperties>
</file>